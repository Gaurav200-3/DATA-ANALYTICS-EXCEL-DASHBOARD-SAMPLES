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D017F4C6-3085-44F0-B695-D83F33314D87}" xr6:coauthVersionLast="36" xr6:coauthVersionMax="36" xr10:uidLastSave="{00000000-0000-0000-0000-000000000000}"/>
  <bookViews>
    <workbookView xWindow="0" yWindow="0" windowWidth="20490" windowHeight="7425" xr2:uid="{33D8E7BC-0453-4ED9-B754-BC3F0F9FF5CD}"/>
  </bookViews>
  <sheets>
    <sheet name="DATA" sheetId="1" r:id="rId1"/>
    <sheet name="PIVOT TABLE " sheetId="2" r:id="rId2"/>
    <sheet name="DASHBOARD " sheetId="3" r:id="rId3"/>
  </sheets>
  <externalReferences>
    <externalReference r:id="rId4"/>
    <externalReference r:id="rId5"/>
  </externalReferences>
  <definedNames>
    <definedName name="BUDGET_Title">'[1]Monthly Budget Summary'!$B$2</definedName>
    <definedName name="COMPANY_NAME">'[1]Monthly Budget Summary'!$B$1</definedName>
    <definedName name="Plyear">#REF!</definedName>
    <definedName name="Slicer_REGION">#N/A</definedName>
    <definedName name="Slicer_SALESPERSON">#N/A</definedName>
    <definedName name="valpro">#REF!</definedName>
    <definedName name="valregion">#REF!</definedName>
    <definedName name="valyear">#REF!</definedName>
    <definedName name="vblhelpstatus">#REF!</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<sst xmlns="http://schemas.openxmlformats.org/spreadsheetml/2006/main" count="141" uniqueCount="70">
  <si>
    <t>KISHOR</t>
  </si>
  <si>
    <t>SOUTH</t>
  </si>
  <si>
    <t xml:space="preserve">VIKROLI </t>
  </si>
  <si>
    <t xml:space="preserve">804 STREET ROAD </t>
  </si>
  <si>
    <t>COMPANY TATA</t>
  </si>
  <si>
    <t>SURESH</t>
  </si>
  <si>
    <t>NORTH</t>
  </si>
  <si>
    <t>MULUND</t>
  </si>
  <si>
    <t xml:space="preserve">803 STREET ROAD </t>
  </si>
  <si>
    <t>RAJESH</t>
  </si>
  <si>
    <t>WEST</t>
  </si>
  <si>
    <t>LOS ANGELAS</t>
  </si>
  <si>
    <t xml:space="preserve">802 STREET ROAD </t>
  </si>
  <si>
    <t>COMPANY VBA</t>
  </si>
  <si>
    <t>ABHINAV</t>
  </si>
  <si>
    <t>EAST</t>
  </si>
  <si>
    <t>MUMBAI</t>
  </si>
  <si>
    <t xml:space="preserve">801 STREET ROAD </t>
  </si>
  <si>
    <t>COMPANY XYZ</t>
  </si>
  <si>
    <t>PRIYA</t>
  </si>
  <si>
    <t>BHANDUP</t>
  </si>
  <si>
    <t xml:space="preserve">800 STREET ROAD </t>
  </si>
  <si>
    <t>COMPANY TDS</t>
  </si>
  <si>
    <t>KRISHNA</t>
  </si>
  <si>
    <t xml:space="preserve">799 STREET ROAD </t>
  </si>
  <si>
    <t xml:space="preserve">798 STREET ROAD </t>
  </si>
  <si>
    <t xml:space="preserve">797 STREET ROAD </t>
  </si>
  <si>
    <t>COMPANY A</t>
  </si>
  <si>
    <t xml:space="preserve">796 STREET ROAD </t>
  </si>
  <si>
    <t xml:space="preserve">795 STREET ROAD </t>
  </si>
  <si>
    <t xml:space="preserve">794 STREET ROAD </t>
  </si>
  <si>
    <t xml:space="preserve">793 STREET ROAD </t>
  </si>
  <si>
    <t xml:space="preserve">792 STREET ROAD </t>
  </si>
  <si>
    <t xml:space="preserve">791 STREET ROAD </t>
  </si>
  <si>
    <t xml:space="preserve">790 STREET ROAD </t>
  </si>
  <si>
    <t xml:space="preserve">789 STREET ROAD </t>
  </si>
  <si>
    <t>SALESPERSON</t>
  </si>
  <si>
    <t>REGION</t>
  </si>
  <si>
    <t>SALES</t>
  </si>
  <si>
    <t>CITY</t>
  </si>
  <si>
    <t>ADDRESS</t>
  </si>
  <si>
    <t>CUSTOMER NAME</t>
  </si>
  <si>
    <t>CUSTOMER</t>
  </si>
  <si>
    <t>ORDER DATE</t>
  </si>
  <si>
    <t>ORDER</t>
  </si>
  <si>
    <t>E</t>
  </si>
  <si>
    <t>D</t>
  </si>
  <si>
    <t xml:space="preserve">C </t>
  </si>
  <si>
    <t>B</t>
  </si>
  <si>
    <t>A</t>
  </si>
  <si>
    <t>Grand Total</t>
  </si>
  <si>
    <t>gaurav</t>
  </si>
  <si>
    <t>Dec</t>
  </si>
  <si>
    <t>Nov</t>
  </si>
  <si>
    <t>Sep</t>
  </si>
  <si>
    <t>Aug</t>
  </si>
  <si>
    <t>Jun</t>
  </si>
  <si>
    <t>May</t>
  </si>
  <si>
    <t>Apr</t>
  </si>
  <si>
    <t>Mar</t>
  </si>
  <si>
    <t>Feb</t>
  </si>
  <si>
    <t>Jan</t>
  </si>
  <si>
    <t>Sum of SALES</t>
  </si>
  <si>
    <t>Row Labels</t>
  </si>
  <si>
    <t>PIVOT TABLE -5</t>
  </si>
  <si>
    <t>PIVOT TABLE -4</t>
  </si>
  <si>
    <t>PIVOT TABLE -3</t>
  </si>
  <si>
    <t>PIVOT TABLE -2</t>
  </si>
  <si>
    <t>PIVOT TABLE -1</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</si>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</sst>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Times New Roman"/>
      <family val="1"/>
    </font>
    <font>
      <b/>
      <u/>
      <sz val="26"/>
      <color theme="1"/>
      <name val="Times New Roman"/>
      <family val="1"/>
    </font>
    <font>
      <b/>
      <u/>
      <sz val="26"/>
      <color theme="0"/>
      <name val="Times New Roman"/>
      <family val="1"/>
    </font>
  </fonts>
  <fills count="4">
    <fill>
      <patternFill patternType="none"/>
    </fill>
    <fill>
      <patternFill patternType="gray125"/>
    </fill>
    <fill>
      <patternFill patternType="solid">
        <fgColor rgb="FFFFFF00"/>
        <bgColor indexed="64"/>
      </patternFill>
    </fill>
    <fill>
      <patternFill patternType="solid">
        <fgColor theme="1"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4" fontId="0" fillId="0" borderId="1" xfId="0" applyNumberForma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0" xfId="0" applyNumberFormat="1"/>
    <xf numFmtId="0" fontId="0" fillId="0" borderId="0" xfId="0" applyAlignment="1">
      <alignment horizontal="left"/>
    </xf>
    <xf numFmtId="0" fontId="0" fillId="0" borderId="0" xfId="0" pivotButton="1"/>
    <xf numFmtId="0" fontId="1" fillId="2" borderId="1" xfId="0" applyFont="1" applyFill="1" applyBorder="1" applyAlignment="1">
      <alignment horizontal="center"/>
    </xf>
    <xf numFmtId="0" fontId="0" fillId="3" borderId="0" xfId="0" applyFill="1"/>
    <xf numFmtId="0" fontId="2" fillId="3"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14">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RELATED DASHBOARD.xlsx]PIVOT TABLE !PivotTable1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2025</a:t>
            </a:r>
            <a:r>
              <a:rPr lang="en-US" baseline="0">
                <a:solidFill>
                  <a:schemeClr val="bg1"/>
                </a:solidFill>
              </a:rPr>
              <a:t> SALES TREND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lumMod val="50000"/>
              </a:schemeClr>
            </a:solidFill>
            <a:round/>
          </a:ln>
          <a:effectLst/>
        </c:spPr>
        <c:marker>
          <c:symbol val="circle"/>
          <c:size val="5"/>
          <c:spPr>
            <a:solidFill>
              <a:schemeClr val="bg1"/>
            </a:solidFill>
            <a:ln w="9525">
              <a:solidFill>
                <a:schemeClr val="accent1">
                  <a:lumMod val="50000"/>
                </a:schemeClr>
              </a:solidFill>
            </a:ln>
            <a:effectLst/>
          </c:spPr>
        </c:marker>
      </c:pivotFmt>
      <c:pivotFmt>
        <c:idx val="3"/>
        <c:spPr>
          <a:solidFill>
            <a:schemeClr val="accent1"/>
          </a:solidFill>
          <a:ln w="28575" cap="rnd">
            <a:solidFill>
              <a:srgbClr val="0070C0"/>
            </a:solidFill>
            <a:round/>
          </a:ln>
          <a:effectLst/>
        </c:spPr>
        <c:marker>
          <c:symbol val="circle"/>
          <c:size val="5"/>
          <c:spPr>
            <a:solidFill>
              <a:schemeClr val="bg1"/>
            </a:solidFill>
            <a:ln w="9525">
              <a:solidFill>
                <a:srgbClr val="0070C0"/>
              </a:solidFill>
            </a:ln>
            <a:effectLst/>
          </c:spPr>
        </c:marker>
      </c:pivotFmt>
      <c:pivotFmt>
        <c:idx val="4"/>
        <c:spPr>
          <a:solidFill>
            <a:schemeClr val="accent1"/>
          </a:solidFill>
          <a:ln w="28575" cap="rnd">
            <a:solidFill>
              <a:srgbClr val="40BFD8"/>
            </a:solidFill>
            <a:round/>
          </a:ln>
          <a:effectLst/>
        </c:spPr>
        <c:marker>
          <c:symbol val="circle"/>
          <c:size val="5"/>
          <c:spPr>
            <a:solidFill>
              <a:srgbClr val="01CFFF"/>
            </a:solidFill>
            <a:ln w="9525">
              <a:solidFill>
                <a:srgbClr val="40BFD8"/>
              </a:solidFill>
            </a:ln>
            <a:effectLst/>
          </c:spPr>
        </c:marker>
      </c:pivotFmt>
      <c:pivotFmt>
        <c:idx val="5"/>
        <c:spPr>
          <a:solidFill>
            <a:schemeClr val="accent1"/>
          </a:solidFill>
          <a:ln w="28575" cap="rnd">
            <a:solidFill>
              <a:srgbClr val="0070C0"/>
            </a:solidFill>
            <a:round/>
          </a:ln>
          <a:effectLst/>
        </c:spPr>
        <c:marker>
          <c:symbol val="circle"/>
          <c:size val="5"/>
          <c:spPr>
            <a:solidFill>
              <a:schemeClr val="bg1"/>
            </a:solidFill>
            <a:ln w="9525">
              <a:solidFill>
                <a:srgbClr val="0070C0"/>
              </a:solidFill>
            </a:ln>
            <a:effectLst/>
          </c:spPr>
        </c:marker>
      </c:pivotFmt>
      <c:pivotFmt>
        <c:idx val="6"/>
        <c:spPr>
          <a:solidFill>
            <a:schemeClr val="accent1"/>
          </a:solidFill>
          <a:ln w="28575" cap="rnd">
            <a:solidFill>
              <a:srgbClr val="01CFFF"/>
            </a:solidFill>
            <a:round/>
          </a:ln>
          <a:effectLst/>
        </c:spPr>
        <c:marker>
          <c:symbol val="circle"/>
          <c:size val="5"/>
          <c:spPr>
            <a:solidFill>
              <a:schemeClr val="bg1"/>
            </a:solidFill>
            <a:ln w="9525">
              <a:solidFill>
                <a:srgbClr val="01CFFF"/>
              </a:solidFill>
            </a:ln>
            <a:effectLst/>
          </c:spPr>
        </c:marker>
      </c:pivotFmt>
      <c:pivotFmt>
        <c:idx val="7"/>
        <c:spPr>
          <a:solidFill>
            <a:schemeClr val="accent1"/>
          </a:solidFill>
          <a:ln w="28575" cap="rnd">
            <a:solidFill>
              <a:srgbClr val="0070C0"/>
            </a:solidFill>
            <a:round/>
          </a:ln>
          <a:effectLst/>
        </c:spPr>
        <c:marker>
          <c:symbol val="circle"/>
          <c:size val="5"/>
          <c:spPr>
            <a:solidFill>
              <a:schemeClr val="bg1"/>
            </a:solidFill>
            <a:ln w="9525">
              <a:solidFill>
                <a:srgbClr val="0070C0"/>
              </a:solidFill>
            </a:ln>
            <a:effectLst/>
          </c:spPr>
        </c:marker>
      </c:pivotFmt>
      <c:pivotFmt>
        <c:idx val="8"/>
        <c:spPr>
          <a:solidFill>
            <a:schemeClr val="accent1"/>
          </a:solidFill>
          <a:ln w="28575" cap="rnd">
            <a:solidFill>
              <a:srgbClr val="40BFD8"/>
            </a:solidFill>
            <a:round/>
          </a:ln>
          <a:effectLst/>
        </c:spPr>
        <c:marker>
          <c:symbol val="circle"/>
          <c:size val="5"/>
          <c:spPr>
            <a:solidFill>
              <a:schemeClr val="bg1"/>
            </a:solidFill>
            <a:ln w="9525">
              <a:solidFill>
                <a:srgbClr val="40BFD8"/>
              </a:solidFill>
            </a:ln>
            <a:effectLst/>
          </c:spPr>
        </c:marker>
      </c:pivotFmt>
      <c:pivotFmt>
        <c:idx val="9"/>
        <c:spPr>
          <a:solidFill>
            <a:schemeClr val="accent1"/>
          </a:solidFill>
          <a:ln w="28575" cap="rnd">
            <a:solidFill>
              <a:srgbClr val="0070C0"/>
            </a:solidFill>
            <a:round/>
          </a:ln>
          <a:effectLst/>
        </c:spPr>
        <c:marker>
          <c:symbol val="circle"/>
          <c:size val="5"/>
          <c:spPr>
            <a:solidFill>
              <a:schemeClr val="bg1"/>
            </a:solidFill>
            <a:ln w="9525">
              <a:solidFill>
                <a:srgbClr val="0070C0"/>
              </a:solidFill>
            </a:ln>
            <a:effectLst/>
          </c:spPr>
        </c:marker>
      </c:pivotFmt>
      <c:pivotFmt>
        <c:idx val="10"/>
        <c:spPr>
          <a:solidFill>
            <a:schemeClr val="accent1"/>
          </a:solidFill>
          <a:ln w="28575" cap="rnd">
            <a:solidFill>
              <a:srgbClr val="01CFFF"/>
            </a:solidFill>
            <a:round/>
          </a:ln>
          <a:effectLst/>
        </c:spPr>
        <c:marker>
          <c:symbol val="circle"/>
          <c:size val="5"/>
          <c:spPr>
            <a:solidFill>
              <a:schemeClr val="bg1"/>
            </a:solidFill>
            <a:ln w="9525">
              <a:solidFill>
                <a:srgbClr val="01CFFF"/>
              </a:solidFill>
            </a:ln>
            <a:effectLst/>
          </c:spPr>
        </c:marker>
      </c:pivotFmt>
      <c:pivotFmt>
        <c:idx val="11"/>
        <c:spPr>
          <a:solidFill>
            <a:schemeClr val="accent1"/>
          </a:solidFill>
          <a:ln w="28575" cap="rnd">
            <a:solidFill>
              <a:srgbClr val="0070C0"/>
            </a:solidFill>
            <a:round/>
          </a:ln>
          <a:effectLst/>
        </c:spPr>
        <c:marker>
          <c:symbol val="circle"/>
          <c:size val="5"/>
          <c:spPr>
            <a:solidFill>
              <a:srgbClr val="0070C0"/>
            </a:solidFill>
            <a:ln w="9525">
              <a:solidFill>
                <a:srgbClr val="0070C0"/>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'!$A$4:$A$14</c:f>
              <c:strCache>
                <c:ptCount val="10"/>
                <c:pt idx="0">
                  <c:v>Jan</c:v>
                </c:pt>
                <c:pt idx="1">
                  <c:v>Feb</c:v>
                </c:pt>
                <c:pt idx="2">
                  <c:v>Mar</c:v>
                </c:pt>
                <c:pt idx="3">
                  <c:v>Apr</c:v>
                </c:pt>
                <c:pt idx="4">
                  <c:v>May</c:v>
                </c:pt>
                <c:pt idx="5">
                  <c:v>Jun</c:v>
                </c:pt>
                <c:pt idx="6">
                  <c:v>Aug</c:v>
                </c:pt>
                <c:pt idx="7">
                  <c:v>Sep</c:v>
                </c:pt>
                <c:pt idx="8">
                  <c:v>Nov</c:v>
                </c:pt>
                <c:pt idx="9">
                  <c:v>Dec</c:v>
                </c:pt>
              </c:strCache>
            </c:strRef>
          </c:cat>
          <c:val>
            <c:numRef>
              <c:f>'PIVOT TABLE '!$B$4:$B$14</c:f>
              <c:numCache>
                <c:formatCode>General</c:formatCode>
                <c:ptCount val="10"/>
                <c:pt idx="0">
                  <c:v>500000</c:v>
                </c:pt>
                <c:pt idx="1">
                  <c:v>800000</c:v>
                </c:pt>
                <c:pt idx="2">
                  <c:v>61000</c:v>
                </c:pt>
                <c:pt idx="3">
                  <c:v>300000</c:v>
                </c:pt>
                <c:pt idx="4">
                  <c:v>650000</c:v>
                </c:pt>
                <c:pt idx="5">
                  <c:v>150000</c:v>
                </c:pt>
                <c:pt idx="6">
                  <c:v>435000</c:v>
                </c:pt>
                <c:pt idx="7">
                  <c:v>330600</c:v>
                </c:pt>
                <c:pt idx="8">
                  <c:v>337000</c:v>
                </c:pt>
                <c:pt idx="9">
                  <c:v>75000</c:v>
                </c:pt>
              </c:numCache>
            </c:numRef>
          </c:val>
          <c:smooth val="0"/>
          <c:extLst>
            <c:ext xmlns:c16="http://schemas.microsoft.com/office/drawing/2014/chart" uri="{C3380CC4-5D6E-409C-BE32-E72D297353CC}">
              <c16:uniqueId val="{00000001-8C1F-4709-A408-589180861505}"/>
            </c:ext>
          </c:extLst>
        </c:ser>
        <c:dLbls>
          <c:showLegendKey val="0"/>
          <c:showVal val="0"/>
          <c:showCatName val="0"/>
          <c:showSerName val="0"/>
          <c:showPercent val="0"/>
          <c:showBubbleSize val="0"/>
        </c:dLbls>
        <c:marker val="1"/>
        <c:smooth val="0"/>
        <c:axId val="833151296"/>
        <c:axId val="707603072"/>
      </c:lineChart>
      <c:catAx>
        <c:axId val="8331512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03072"/>
        <c:crosses val="autoZero"/>
        <c:auto val="1"/>
        <c:lblAlgn val="ctr"/>
        <c:lblOffset val="100"/>
        <c:noMultiLvlLbl val="0"/>
      </c:catAx>
      <c:valAx>
        <c:axId val="707603072"/>
        <c:scaling>
          <c:orientation val="minMax"/>
        </c:scaling>
        <c:delete val="0"/>
        <c:axPos val="l"/>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15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RELATED DASHBOARD.xlsx]PIVOT TABLE !PivotTable2</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SALESPERSON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60000"/>
                <a:lumOff val="4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60000"/>
                <a:lumOff val="4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1CFFF"/>
          </a:solidFill>
          <a:ln>
            <a:solidFill>
              <a:schemeClr val="bg1"/>
            </a:solidFill>
          </a:ln>
          <a:effectLst/>
        </c:spPr>
        <c:marker>
          <c:symbol val="none"/>
        </c:marker>
      </c:pivotFmt>
      <c:pivotFmt>
        <c:idx val="3"/>
      </c:pivotFmt>
      <c:pivotFmt>
        <c:idx val="4"/>
        <c:spPr>
          <a:solidFill>
            <a:srgbClr val="0070C0"/>
          </a:solidFill>
          <a:ln>
            <a:solidFill>
              <a:schemeClr val="bg1"/>
            </a:solidFill>
          </a:ln>
          <a:effectLst/>
        </c:spPr>
      </c:pivotFmt>
      <c:pivotFmt>
        <c:idx val="5"/>
        <c:spPr>
          <a:solidFill>
            <a:srgbClr val="0070C0"/>
          </a:solidFill>
          <a:ln>
            <a:solidFill>
              <a:schemeClr val="bg1"/>
            </a:solidFill>
          </a:ln>
          <a:effectLst/>
        </c:spPr>
      </c:pivotFmt>
      <c:pivotFmt>
        <c:idx val="6"/>
        <c:spPr>
          <a:solidFill>
            <a:srgbClr val="40BFD8"/>
          </a:solidFill>
          <a:ln>
            <a:solidFill>
              <a:schemeClr val="bg1"/>
            </a:solidFill>
          </a:ln>
          <a:effectLst/>
        </c:spPr>
      </c:pivotFmt>
      <c:pivotFmt>
        <c:idx val="7"/>
        <c:spPr>
          <a:solidFill>
            <a:srgbClr val="0070C0"/>
          </a:solidFill>
          <a:ln>
            <a:solidFill>
              <a:schemeClr val="bg1"/>
            </a:solidFill>
          </a:ln>
          <a:effectLst/>
        </c:spP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bar"/>
        <c:grouping val="stacked"/>
        <c:varyColors val="0"/>
        <c:ser>
          <c:idx val="0"/>
          <c:order val="0"/>
          <c:tx>
            <c:strRef>
              <c:f>'PIVOT TABLE '!$E$3</c:f>
              <c:strCache>
                <c:ptCount val="1"/>
                <c:pt idx="0">
                  <c:v>Total</c:v>
                </c:pt>
              </c:strCache>
            </c:strRef>
          </c:tx>
          <c:spPr>
            <a:solidFill>
              <a:schemeClr val="accent1"/>
            </a:solidFill>
            <a:ln>
              <a:noFill/>
            </a:ln>
            <a:effectLst/>
          </c:spPr>
          <c:invertIfNegative val="0"/>
          <c:cat>
            <c:strRef>
              <c:f>'PIVOT TABLE '!$D$4:$D$10</c:f>
              <c:strCache>
                <c:ptCount val="6"/>
                <c:pt idx="0">
                  <c:v>ABHINAV</c:v>
                </c:pt>
                <c:pt idx="1">
                  <c:v>KISHOR</c:v>
                </c:pt>
                <c:pt idx="2">
                  <c:v>KRISHNA</c:v>
                </c:pt>
                <c:pt idx="3">
                  <c:v>PRIYA</c:v>
                </c:pt>
                <c:pt idx="4">
                  <c:v>RAJESH</c:v>
                </c:pt>
                <c:pt idx="5">
                  <c:v>SURESH</c:v>
                </c:pt>
              </c:strCache>
            </c:strRef>
          </c:cat>
          <c:val>
            <c:numRef>
              <c:f>'PIVOT TABLE '!$E$4:$E$10</c:f>
              <c:numCache>
                <c:formatCode>General</c:formatCode>
                <c:ptCount val="6"/>
                <c:pt idx="0">
                  <c:v>850600</c:v>
                </c:pt>
                <c:pt idx="1">
                  <c:v>600000</c:v>
                </c:pt>
                <c:pt idx="2">
                  <c:v>161000</c:v>
                </c:pt>
                <c:pt idx="3">
                  <c:v>495000</c:v>
                </c:pt>
                <c:pt idx="4">
                  <c:v>1127000</c:v>
                </c:pt>
                <c:pt idx="5">
                  <c:v>405000</c:v>
                </c:pt>
              </c:numCache>
            </c:numRef>
          </c:val>
          <c:extLst>
            <c:ext xmlns:c16="http://schemas.microsoft.com/office/drawing/2014/chart" uri="{C3380CC4-5D6E-409C-BE32-E72D297353CC}">
              <c16:uniqueId val="{00000002-3667-4D39-8FDA-132E1BE5CF95}"/>
            </c:ext>
          </c:extLst>
        </c:ser>
        <c:dLbls>
          <c:showLegendKey val="0"/>
          <c:showVal val="0"/>
          <c:showCatName val="0"/>
          <c:showSerName val="0"/>
          <c:showPercent val="0"/>
          <c:showBubbleSize val="0"/>
        </c:dLbls>
        <c:gapWidth val="150"/>
        <c:overlap val="100"/>
        <c:axId val="906514448"/>
        <c:axId val="707583936"/>
      </c:barChart>
      <c:catAx>
        <c:axId val="906514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83936"/>
        <c:crosses val="autoZero"/>
        <c:auto val="1"/>
        <c:lblAlgn val="ctr"/>
        <c:lblOffset val="100"/>
        <c:noMultiLvlLbl val="0"/>
      </c:catAx>
      <c:valAx>
        <c:axId val="707583936"/>
        <c:scaling>
          <c:orientation val="minMax"/>
        </c:scaling>
        <c:delete val="0"/>
        <c:axPos val="b"/>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514448"/>
        <c:crosses val="autoZero"/>
        <c:crossBetween val="between"/>
      </c:valAx>
      <c:spPr>
        <a:solidFill>
          <a:schemeClr val="tx1">
            <a:lumMod val="95000"/>
            <a:lumOff val="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RELATED DASHBOARD.xlsx]PIVOT TABLE !PivotTable3</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70C0"/>
          </a:solidFill>
          <a:ln>
            <a:solidFill>
              <a:schemeClr val="bg1"/>
            </a:solidFill>
          </a:ln>
          <a:effectLst/>
        </c:spPr>
        <c:marker>
          <c:symbol val="none"/>
        </c:marker>
      </c:pivotFmt>
      <c:pivotFmt>
        <c:idx val="3"/>
        <c:spPr>
          <a:solidFill>
            <a:srgbClr val="40BFD8"/>
          </a:solidFill>
          <a:ln>
            <a:solidFill>
              <a:schemeClr val="bg1"/>
            </a:solidFill>
          </a:ln>
          <a:effectLst/>
        </c:spPr>
      </c:pivotFmt>
      <c:pivotFmt>
        <c:idx val="4"/>
      </c:pivotFmt>
      <c:pivotFmt>
        <c:idx val="5"/>
        <c:spPr>
          <a:solidFill>
            <a:srgbClr val="01CFFF"/>
          </a:solidFill>
          <a:ln>
            <a:solidFill>
              <a:schemeClr val="bg1"/>
            </a:solidFill>
          </a:ln>
          <a:effectLst/>
        </c:spP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stacked"/>
        <c:varyColors val="0"/>
        <c:ser>
          <c:idx val="0"/>
          <c:order val="0"/>
          <c:tx>
            <c:strRef>
              <c:f>'PIVOT TABLE '!$H$3</c:f>
              <c:strCache>
                <c:ptCount val="1"/>
                <c:pt idx="0">
                  <c:v>Total</c:v>
                </c:pt>
              </c:strCache>
            </c:strRef>
          </c:tx>
          <c:spPr>
            <a:solidFill>
              <a:schemeClr val="accent1"/>
            </a:solidFill>
            <a:ln>
              <a:noFill/>
            </a:ln>
            <a:effectLst/>
          </c:spPr>
          <c:invertIfNegative val="0"/>
          <c:cat>
            <c:strRef>
              <c:f>'PIVOT TABLE '!$G$4:$G$8</c:f>
              <c:strCache>
                <c:ptCount val="4"/>
                <c:pt idx="0">
                  <c:v>NORTH</c:v>
                </c:pt>
                <c:pt idx="1">
                  <c:v>EAST</c:v>
                </c:pt>
                <c:pt idx="2">
                  <c:v>SOUTH</c:v>
                </c:pt>
                <c:pt idx="3">
                  <c:v>WEST</c:v>
                </c:pt>
              </c:strCache>
            </c:strRef>
          </c:cat>
          <c:val>
            <c:numRef>
              <c:f>'PIVOT TABLE '!$H$4:$H$8</c:f>
              <c:numCache>
                <c:formatCode>General</c:formatCode>
                <c:ptCount val="4"/>
                <c:pt idx="0">
                  <c:v>691600</c:v>
                </c:pt>
                <c:pt idx="1">
                  <c:v>725000</c:v>
                </c:pt>
                <c:pt idx="2">
                  <c:v>987000</c:v>
                </c:pt>
                <c:pt idx="3">
                  <c:v>1235000</c:v>
                </c:pt>
              </c:numCache>
            </c:numRef>
          </c:val>
          <c:extLst>
            <c:ext xmlns:c16="http://schemas.microsoft.com/office/drawing/2014/chart" uri="{C3380CC4-5D6E-409C-BE32-E72D297353CC}">
              <c16:uniqueId val="{00000001-E001-40D8-9863-F5EA02F5F5AA}"/>
            </c:ext>
          </c:extLst>
        </c:ser>
        <c:dLbls>
          <c:showLegendKey val="0"/>
          <c:showVal val="0"/>
          <c:showCatName val="0"/>
          <c:showSerName val="0"/>
          <c:showPercent val="0"/>
          <c:showBubbleSize val="0"/>
        </c:dLbls>
        <c:gapWidth val="150"/>
        <c:overlap val="100"/>
        <c:axId val="1106133408"/>
        <c:axId val="826974656"/>
      </c:barChart>
      <c:catAx>
        <c:axId val="110613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974656"/>
        <c:crosses val="autoZero"/>
        <c:auto val="1"/>
        <c:lblAlgn val="ctr"/>
        <c:lblOffset val="100"/>
        <c:noMultiLvlLbl val="0"/>
      </c:catAx>
      <c:valAx>
        <c:axId val="826974656"/>
        <c:scaling>
          <c:orientation val="minMax"/>
        </c:scaling>
        <c:delete val="0"/>
        <c:axPos val="l"/>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13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rnd"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RELATED DASHBOARD.xlsx]PIVOT TABLE !PivotTable4</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5 CUSTOMERS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pivotFmt>
      <c:pivotFmt>
        <c:idx val="1"/>
        <c:spPr>
          <a:solidFill>
            <a:schemeClr val="accent1"/>
          </a:solidFill>
          <a:ln>
            <a:solidFill>
              <a:schemeClr val="bg1"/>
            </a:solidFill>
          </a:ln>
          <a:effectLst/>
        </c:spPr>
        <c:marker>
          <c:symbol val="none"/>
        </c:marker>
      </c:pivotFmt>
      <c:pivotFmt>
        <c:idx val="2"/>
        <c:spPr>
          <a:solidFill>
            <a:schemeClr val="accent1"/>
          </a:solidFill>
          <a:ln>
            <a:solidFill>
              <a:schemeClr val="bg1"/>
            </a:solidFill>
          </a:ln>
          <a:effectLst/>
        </c:spPr>
        <c:marker>
          <c:symbol val="none"/>
        </c:marker>
      </c:pivotFmt>
      <c:pivotFmt>
        <c:idx val="3"/>
        <c:spPr>
          <a:solidFill>
            <a:srgbClr val="01CFFF"/>
          </a:solidFill>
          <a:ln>
            <a:solidFill>
              <a:schemeClr val="bg1"/>
            </a:solidFill>
          </a:ln>
          <a:effectLst/>
        </c:spPr>
      </c:pivotFmt>
      <c:pivotFmt>
        <c:idx val="4"/>
        <c:spPr>
          <a:solidFill>
            <a:srgbClr val="0070C0"/>
          </a:solidFill>
          <a:ln>
            <a:solidFill>
              <a:schemeClr val="bg1"/>
            </a:solidFill>
          </a:ln>
          <a:effectLst/>
        </c:spPr>
      </c:pivotFmt>
      <c:pivotFmt>
        <c:idx val="5"/>
        <c:spPr>
          <a:solidFill>
            <a:srgbClr val="40BFD8"/>
          </a:solidFill>
          <a:ln>
            <a:solidFill>
              <a:schemeClr val="bg1"/>
            </a:solidFill>
          </a:ln>
          <a:effectLst/>
        </c:spPr>
      </c:pivotFmt>
      <c:pivotFmt>
        <c:idx val="6"/>
        <c:spPr>
          <a:solidFill>
            <a:srgbClr val="0070C0"/>
          </a:solidFill>
          <a:ln>
            <a:solidFill>
              <a:schemeClr val="bg1"/>
            </a:solidFill>
          </a:ln>
          <a:effectLst/>
        </c:spPr>
      </c:pivotFmt>
      <c:pivotFmt>
        <c:idx val="7"/>
        <c:spPr>
          <a:solidFill>
            <a:srgbClr val="40BFD8"/>
          </a:solidFill>
          <a:ln>
            <a:solidFill>
              <a:schemeClr val="bg1"/>
            </a:solidFill>
          </a:ln>
          <a:effectLst/>
        </c:spP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bar"/>
        <c:grouping val="stacked"/>
        <c:varyColors val="0"/>
        <c:ser>
          <c:idx val="0"/>
          <c:order val="0"/>
          <c:tx>
            <c:strRef>
              <c:f>'PIVOT TABLE '!$K$3</c:f>
              <c:strCache>
                <c:ptCount val="1"/>
                <c:pt idx="0">
                  <c:v>Total</c:v>
                </c:pt>
              </c:strCache>
            </c:strRef>
          </c:tx>
          <c:spPr>
            <a:solidFill>
              <a:schemeClr val="accent1"/>
            </a:solidFill>
            <a:ln>
              <a:noFill/>
            </a:ln>
            <a:effectLst/>
          </c:spPr>
          <c:invertIfNegative val="0"/>
          <c:cat>
            <c:strRef>
              <c:f>'PIVOT TABLE '!$J$4:$J$9</c:f>
              <c:strCache>
                <c:ptCount val="5"/>
                <c:pt idx="0">
                  <c:v>COMPANY VBA</c:v>
                </c:pt>
                <c:pt idx="1">
                  <c:v>COMPANY A</c:v>
                </c:pt>
                <c:pt idx="2">
                  <c:v>COMPANY TDS</c:v>
                </c:pt>
                <c:pt idx="3">
                  <c:v>COMPANY TATA</c:v>
                </c:pt>
                <c:pt idx="4">
                  <c:v>COMPANY XYZ</c:v>
                </c:pt>
              </c:strCache>
            </c:strRef>
          </c:cat>
          <c:val>
            <c:numRef>
              <c:f>'PIVOT TABLE '!$K$4:$K$9</c:f>
              <c:numCache>
                <c:formatCode>General</c:formatCode>
                <c:ptCount val="5"/>
                <c:pt idx="0">
                  <c:v>1240000</c:v>
                </c:pt>
                <c:pt idx="1">
                  <c:v>1175600</c:v>
                </c:pt>
                <c:pt idx="2">
                  <c:v>650000</c:v>
                </c:pt>
                <c:pt idx="3">
                  <c:v>375000</c:v>
                </c:pt>
                <c:pt idx="4">
                  <c:v>198000</c:v>
                </c:pt>
              </c:numCache>
            </c:numRef>
          </c:val>
          <c:extLst>
            <c:ext xmlns:c16="http://schemas.microsoft.com/office/drawing/2014/chart" uri="{C3380CC4-5D6E-409C-BE32-E72D297353CC}">
              <c16:uniqueId val="{00000001-DF89-42CD-8346-647E5D9C1C38}"/>
            </c:ext>
          </c:extLst>
        </c:ser>
        <c:dLbls>
          <c:showLegendKey val="0"/>
          <c:showVal val="0"/>
          <c:showCatName val="0"/>
          <c:showSerName val="0"/>
          <c:showPercent val="0"/>
          <c:showBubbleSize val="0"/>
        </c:dLbls>
        <c:gapWidth val="150"/>
        <c:overlap val="100"/>
        <c:axId val="1106152608"/>
        <c:axId val="1116874704"/>
      </c:barChart>
      <c:catAx>
        <c:axId val="110615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874704"/>
        <c:crosses val="autoZero"/>
        <c:auto val="1"/>
        <c:lblAlgn val="ctr"/>
        <c:lblOffset val="100"/>
        <c:noMultiLvlLbl val="0"/>
      </c:catAx>
      <c:valAx>
        <c:axId val="1116874704"/>
        <c:scaling>
          <c:orientation val="minMax"/>
        </c:scaling>
        <c:delete val="0"/>
        <c:axPos val="b"/>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15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RELATED DASHBOARD.xlsx]PIVOT TABLE !PivotTable5</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ORDER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pivotFmt>
      <c:pivotFmt>
        <c:idx val="1"/>
        <c:spPr>
          <a:solidFill>
            <a:schemeClr val="accent1"/>
          </a:solidFill>
          <a:ln>
            <a:solidFill>
              <a:schemeClr val="bg1"/>
            </a:solidFill>
          </a:ln>
          <a:effectLst/>
        </c:spPr>
        <c:marker>
          <c:symbol val="none"/>
        </c:marker>
      </c:pivotFmt>
      <c:pivotFmt>
        <c:idx val="2"/>
        <c:spPr>
          <a:solidFill>
            <a:schemeClr val="accent1"/>
          </a:solidFill>
          <a:ln>
            <a:solidFill>
              <a:schemeClr val="bg1"/>
            </a:solidFill>
          </a:ln>
          <a:effectLst/>
        </c:spPr>
        <c:marker>
          <c:symbol val="none"/>
        </c:marker>
      </c:pivotFmt>
      <c:pivotFmt>
        <c:idx val="3"/>
        <c:spPr>
          <a:solidFill>
            <a:srgbClr val="01CFFF"/>
          </a:solidFill>
          <a:ln>
            <a:solidFill>
              <a:schemeClr val="bg1"/>
            </a:solidFill>
          </a:ln>
          <a:effectLst/>
        </c:spPr>
      </c:pivotFmt>
      <c:pivotFmt>
        <c:idx val="4"/>
        <c:spPr>
          <a:solidFill>
            <a:srgbClr val="0070C0"/>
          </a:solidFill>
          <a:ln>
            <a:solidFill>
              <a:schemeClr val="bg1"/>
            </a:solidFill>
          </a:ln>
          <a:effectLst/>
        </c:spPr>
      </c:pivotFmt>
      <c:pivotFmt>
        <c:idx val="5"/>
        <c:spPr>
          <a:solidFill>
            <a:srgbClr val="01CFFF"/>
          </a:solidFill>
          <a:ln>
            <a:solidFill>
              <a:schemeClr val="bg1"/>
            </a:solidFill>
          </a:ln>
          <a:effectLst/>
        </c:spPr>
      </c:pivotFmt>
      <c:pivotFmt>
        <c:idx val="6"/>
        <c:spPr>
          <a:solidFill>
            <a:srgbClr val="0070C0"/>
          </a:solidFill>
          <a:ln>
            <a:solidFill>
              <a:schemeClr val="bg1"/>
            </a:solidFill>
          </a:ln>
          <a:effectLst/>
        </c:spPr>
      </c:pivotFmt>
      <c:pivotFmt>
        <c:idx val="7"/>
        <c:spPr>
          <a:solidFill>
            <a:srgbClr val="01CFFF"/>
          </a:solidFill>
          <a:ln>
            <a:solidFill>
              <a:schemeClr val="bg1"/>
            </a:solidFill>
          </a:ln>
          <a:effectLst/>
        </c:spPr>
      </c:pivotFmt>
      <c:pivotFmt>
        <c:idx val="8"/>
        <c:spPr>
          <a:solidFill>
            <a:srgbClr val="0070C0"/>
          </a:solidFill>
          <a:ln>
            <a:solidFill>
              <a:schemeClr val="bg1"/>
            </a:solidFill>
          </a:ln>
          <a:effectLst/>
        </c:spPr>
      </c:pivotFmt>
      <c:pivotFmt>
        <c:idx val="9"/>
        <c:spPr>
          <a:solidFill>
            <a:srgbClr val="01CFFF"/>
          </a:solidFill>
          <a:ln>
            <a:solidFill>
              <a:schemeClr val="bg1"/>
            </a:solidFill>
          </a:ln>
          <a:effectLst/>
        </c:spPr>
      </c:pivotFmt>
      <c:pivotFmt>
        <c:idx val="10"/>
        <c:spPr>
          <a:solidFill>
            <a:srgbClr val="0070C0"/>
          </a:solidFill>
          <a:ln>
            <a:solidFill>
              <a:schemeClr val="bg1"/>
            </a:solidFill>
          </a:ln>
          <a:effectLst/>
        </c:spPr>
      </c:pivotFmt>
      <c:pivotFmt>
        <c:idx val="11"/>
        <c:spPr>
          <a:solidFill>
            <a:srgbClr val="01CFFF"/>
          </a:solidFill>
          <a:ln>
            <a:solidFill>
              <a:schemeClr val="bg1"/>
            </a:solidFill>
          </a:ln>
          <a:effectLst/>
        </c:spPr>
      </c:pivotFmt>
      <c:pivotFmt>
        <c:idx val="12"/>
        <c:spPr>
          <a:solidFill>
            <a:srgbClr val="0070C0"/>
          </a:solidFill>
          <a:ln>
            <a:solidFill>
              <a:schemeClr val="bg1"/>
            </a:solidFill>
          </a:ln>
          <a:effectLst/>
        </c:spPr>
      </c:pivotFmt>
      <c:pivotFmt>
        <c:idx val="13"/>
        <c:spPr>
          <a:solidFill>
            <a:srgbClr val="01CFFF"/>
          </a:solidFill>
          <a:ln>
            <a:solidFill>
              <a:schemeClr val="bg1"/>
            </a:solidFill>
          </a:ln>
          <a:effectLst/>
        </c:spPr>
      </c:pivotFmt>
      <c:pivotFmt>
        <c:idx val="14"/>
        <c:spPr>
          <a:solidFill>
            <a:srgbClr val="0070C0"/>
          </a:solidFill>
          <a:ln>
            <a:solidFill>
              <a:schemeClr val="bg1"/>
            </a:solidFill>
          </a:ln>
          <a:effectLst/>
        </c:spPr>
      </c:pivotFmt>
      <c:pivotFmt>
        <c:idx val="15"/>
        <c:spPr>
          <a:solidFill>
            <a:srgbClr val="01CFFF"/>
          </a:solidFill>
          <a:ln>
            <a:solidFill>
              <a:schemeClr val="bg1"/>
            </a:solidFill>
          </a:ln>
          <a:effectLst/>
        </c:spPr>
      </c:pivotFmt>
      <c:pivotFmt>
        <c:idx val="16"/>
        <c:spPr>
          <a:solidFill>
            <a:srgbClr val="0070C0"/>
          </a:solidFill>
          <a:ln>
            <a:solidFill>
              <a:schemeClr val="bg1"/>
            </a:solidFill>
          </a:ln>
          <a:effectLst/>
        </c:spPr>
      </c:pivotFmt>
      <c:pivotFmt>
        <c:idx val="17"/>
        <c:spPr>
          <a:solidFill>
            <a:srgbClr val="01CFFF"/>
          </a:solidFill>
          <a:ln>
            <a:solidFill>
              <a:schemeClr val="bg1"/>
            </a:solidFill>
          </a:ln>
          <a:effectLst/>
        </c:spPr>
      </c:pivotFmt>
      <c:pivotFmt>
        <c:idx val="18"/>
        <c:spPr>
          <a:solidFill>
            <a:srgbClr val="0070C0"/>
          </a:solidFill>
          <a:ln>
            <a:solidFill>
              <a:schemeClr val="bg1"/>
            </a:solidFill>
          </a:ln>
          <a:effectLst/>
        </c:spP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col"/>
        <c:grouping val="clustered"/>
        <c:varyColors val="0"/>
        <c:ser>
          <c:idx val="0"/>
          <c:order val="0"/>
          <c:tx>
            <c:strRef>
              <c:f>'PIVOT TABLE '!$N$3</c:f>
              <c:strCache>
                <c:ptCount val="1"/>
                <c:pt idx="0">
                  <c:v>Total</c:v>
                </c:pt>
              </c:strCache>
            </c:strRef>
          </c:tx>
          <c:spPr>
            <a:solidFill>
              <a:schemeClr val="accent1"/>
            </a:solidFill>
            <a:ln>
              <a:noFill/>
            </a:ln>
            <a:effectLst/>
          </c:spPr>
          <c:invertIfNegative val="0"/>
          <c:cat>
            <c:strRef>
              <c:f>'PIVOT TABLE '!$M$4:$M$20</c:f>
              <c:strCache>
                <c:ptCount val="16"/>
                <c:pt idx="0">
                  <c:v>1555</c:v>
                </c:pt>
                <c:pt idx="1">
                  <c:v>1000</c:v>
                </c:pt>
                <c:pt idx="2">
                  <c:v>1025</c:v>
                </c:pt>
                <c:pt idx="3">
                  <c:v>1675</c:v>
                </c:pt>
                <c:pt idx="4">
                  <c:v>1050</c:v>
                </c:pt>
                <c:pt idx="5">
                  <c:v>1020</c:v>
                </c:pt>
                <c:pt idx="6">
                  <c:v>1024</c:v>
                </c:pt>
                <c:pt idx="7">
                  <c:v>1045</c:v>
                </c:pt>
                <c:pt idx="8">
                  <c:v>1030</c:v>
                </c:pt>
                <c:pt idx="9">
                  <c:v>1018</c:v>
                </c:pt>
                <c:pt idx="10">
                  <c:v>1017</c:v>
                </c:pt>
                <c:pt idx="11">
                  <c:v>1090</c:v>
                </c:pt>
                <c:pt idx="12">
                  <c:v>1028</c:v>
                </c:pt>
                <c:pt idx="13">
                  <c:v>1026</c:v>
                </c:pt>
                <c:pt idx="14">
                  <c:v>1015</c:v>
                </c:pt>
                <c:pt idx="15">
                  <c:v>1016</c:v>
                </c:pt>
              </c:strCache>
            </c:strRef>
          </c:cat>
          <c:val>
            <c:numRef>
              <c:f>'PIVOT TABLE '!$N$4:$N$20</c:f>
              <c:numCache>
                <c:formatCode>General</c:formatCode>
                <c:ptCount val="16"/>
                <c:pt idx="0">
                  <c:v>30000</c:v>
                </c:pt>
                <c:pt idx="1">
                  <c:v>50000</c:v>
                </c:pt>
                <c:pt idx="2">
                  <c:v>61000</c:v>
                </c:pt>
                <c:pt idx="3">
                  <c:v>75000</c:v>
                </c:pt>
                <c:pt idx="4">
                  <c:v>87000</c:v>
                </c:pt>
                <c:pt idx="5">
                  <c:v>95000</c:v>
                </c:pt>
                <c:pt idx="6">
                  <c:v>100000</c:v>
                </c:pt>
                <c:pt idx="7">
                  <c:v>100000</c:v>
                </c:pt>
                <c:pt idx="8">
                  <c:v>250000</c:v>
                </c:pt>
                <c:pt idx="9">
                  <c:v>250000</c:v>
                </c:pt>
                <c:pt idx="10">
                  <c:v>300000</c:v>
                </c:pt>
                <c:pt idx="11">
                  <c:v>300600</c:v>
                </c:pt>
                <c:pt idx="12">
                  <c:v>340000</c:v>
                </c:pt>
                <c:pt idx="13">
                  <c:v>400000</c:v>
                </c:pt>
                <c:pt idx="14">
                  <c:v>500000</c:v>
                </c:pt>
                <c:pt idx="15">
                  <c:v>700000</c:v>
                </c:pt>
              </c:numCache>
            </c:numRef>
          </c:val>
          <c:extLst>
            <c:ext xmlns:c16="http://schemas.microsoft.com/office/drawing/2014/chart" uri="{C3380CC4-5D6E-409C-BE32-E72D297353CC}">
              <c16:uniqueId val="{00000001-E69E-4522-B3DD-B49A30086787}"/>
            </c:ext>
          </c:extLst>
        </c:ser>
        <c:dLbls>
          <c:showLegendKey val="0"/>
          <c:showVal val="0"/>
          <c:showCatName val="0"/>
          <c:showSerName val="0"/>
          <c:showPercent val="0"/>
          <c:showBubbleSize val="0"/>
        </c:dLbls>
        <c:gapWidth val="219"/>
        <c:overlap val="-27"/>
        <c:axId val="906535248"/>
        <c:axId val="1116889680"/>
      </c:barChart>
      <c:catAx>
        <c:axId val="906535248"/>
        <c:scaling>
          <c:orientation val="minMax"/>
        </c:scaling>
        <c:delete val="1"/>
        <c:axPos val="b"/>
        <c:numFmt formatCode="General" sourceLinked="1"/>
        <c:majorTickMark val="none"/>
        <c:minorTickMark val="none"/>
        <c:tickLblPos val="nextTo"/>
        <c:crossAx val="1116889680"/>
        <c:crosses val="autoZero"/>
        <c:auto val="1"/>
        <c:lblAlgn val="ctr"/>
        <c:lblOffset val="100"/>
        <c:noMultiLvlLbl val="0"/>
      </c:catAx>
      <c:valAx>
        <c:axId val="1116889680"/>
        <c:scaling>
          <c:orientation val="minMax"/>
        </c:scaling>
        <c:delete val="0"/>
        <c:axPos val="l"/>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53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18</xdr:col>
      <xdr:colOff>0</xdr:colOff>
      <xdr:row>7</xdr:row>
      <xdr:rowOff>0</xdr:rowOff>
    </xdr:from>
    <xdr:ext cx="304800" cy="304800"/>
    <xdr:sp macro="" textlink="">
      <xdr:nvSpPr>
        <xdr:cNvPr id="2" name="AutoShape 1" descr="Introduction to Pivot Tables, Charts ...">
          <a:extLst>
            <a:ext uri="{FF2B5EF4-FFF2-40B4-BE49-F238E27FC236}">
              <a16:creationId xmlns:a16="http://schemas.microsoft.com/office/drawing/2014/main" id="{FA72722B-8399-40C2-8587-A8D0F9CA219B}"/>
            </a:ext>
          </a:extLst>
        </xdr:cNvPr>
        <xdr:cNvSpPr>
          <a:spLocks noChangeAspect="1" noChangeArrowheads="1"/>
        </xdr:cNvSpPr>
      </xdr:nvSpPr>
      <xdr:spPr bwMode="auto">
        <a:xfrm>
          <a:off x="10972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3" name="AutoShape 2" descr="Introduction to Pivot Tables, Charts ...">
          <a:extLst>
            <a:ext uri="{FF2B5EF4-FFF2-40B4-BE49-F238E27FC236}">
              <a16:creationId xmlns:a16="http://schemas.microsoft.com/office/drawing/2014/main" id="{D1DAB1E3-06C6-4BBA-9FFA-35BEC339C419}"/>
            </a:ext>
          </a:extLst>
        </xdr:cNvPr>
        <xdr:cNvSpPr>
          <a:spLocks noChangeAspect="1" noChangeArrowheads="1"/>
        </xdr:cNvSpPr>
      </xdr:nvSpPr>
      <xdr:spPr bwMode="auto">
        <a:xfrm>
          <a:off x="10972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4" name="AutoShape 3" descr="Introduction to Pivot Tables, Charts ...">
          <a:extLst>
            <a:ext uri="{FF2B5EF4-FFF2-40B4-BE49-F238E27FC236}">
              <a16:creationId xmlns:a16="http://schemas.microsoft.com/office/drawing/2014/main" id="{6B24112B-9FB2-4C62-961F-99D3C2E56260}"/>
            </a:ext>
          </a:extLst>
        </xdr:cNvPr>
        <xdr:cNvSpPr>
          <a:spLocks noChangeAspect="1" noChangeArrowheads="1"/>
        </xdr:cNvSpPr>
      </xdr:nvSpPr>
      <xdr:spPr bwMode="auto">
        <a:xfrm>
          <a:off x="10972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5" name="AutoShape 4" descr="Introduction to Pivot Tables, Charts ...">
          <a:extLst>
            <a:ext uri="{FF2B5EF4-FFF2-40B4-BE49-F238E27FC236}">
              <a16:creationId xmlns:a16="http://schemas.microsoft.com/office/drawing/2014/main" id="{7B523B00-884F-4730-B9BA-FA9EBB838BD6}"/>
            </a:ext>
          </a:extLst>
        </xdr:cNvPr>
        <xdr:cNvSpPr>
          <a:spLocks noChangeAspect="1" noChangeArrowheads="1"/>
        </xdr:cNvSpPr>
      </xdr:nvSpPr>
      <xdr:spPr bwMode="auto">
        <a:xfrm>
          <a:off x="10972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38100</xdr:colOff>
      <xdr:row>2</xdr:row>
      <xdr:rowOff>38100</xdr:rowOff>
    </xdr:from>
    <xdr:to>
      <xdr:col>5</xdr:col>
      <xdr:colOff>366713</xdr:colOff>
      <xdr:row>11</xdr:row>
      <xdr:rowOff>42862</xdr:rowOff>
    </xdr:to>
    <xdr:graphicFrame macro="">
      <xdr:nvGraphicFramePr>
        <xdr:cNvPr id="2" name="Chart 1">
          <a:extLst>
            <a:ext uri="{FF2B5EF4-FFF2-40B4-BE49-F238E27FC236}">
              <a16:creationId xmlns:a16="http://schemas.microsoft.com/office/drawing/2014/main" id="{361DFFC0-FDC4-42E4-9FC8-7B58C6248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2</xdr:row>
      <xdr:rowOff>38100</xdr:rowOff>
    </xdr:from>
    <xdr:to>
      <xdr:col>12</xdr:col>
      <xdr:colOff>0</xdr:colOff>
      <xdr:row>11</xdr:row>
      <xdr:rowOff>66675</xdr:rowOff>
    </xdr:to>
    <xdr:graphicFrame macro="">
      <xdr:nvGraphicFramePr>
        <xdr:cNvPr id="3" name="Chart 2">
          <a:extLst>
            <a:ext uri="{FF2B5EF4-FFF2-40B4-BE49-F238E27FC236}">
              <a16:creationId xmlns:a16="http://schemas.microsoft.com/office/drawing/2014/main" id="{74CAF27E-4F62-478F-B7A3-484C9790A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85725</xdr:rowOff>
    </xdr:from>
    <xdr:to>
      <xdr:col>5</xdr:col>
      <xdr:colOff>409575</xdr:colOff>
      <xdr:row>21</xdr:row>
      <xdr:rowOff>85724</xdr:rowOff>
    </xdr:to>
    <xdr:graphicFrame macro="">
      <xdr:nvGraphicFramePr>
        <xdr:cNvPr id="4" name="Chart 3">
          <a:extLst>
            <a:ext uri="{FF2B5EF4-FFF2-40B4-BE49-F238E27FC236}">
              <a16:creationId xmlns:a16="http://schemas.microsoft.com/office/drawing/2014/main" id="{1236FEE2-FA2A-4351-BB6B-BDFE54DA6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581026</xdr:colOff>
      <xdr:row>12</xdr:row>
      <xdr:rowOff>104774</xdr:rowOff>
    </xdr:from>
    <xdr:to>
      <xdr:col>12</xdr:col>
      <xdr:colOff>0</xdr:colOff>
      <xdr:row>21</xdr:row>
      <xdr:rowOff>104775</xdr:rowOff>
    </xdr:to>
    <xdr:graphicFrame macro="">
      <xdr:nvGraphicFramePr>
        <xdr:cNvPr id="5" name="Chart 4">
          <a:extLst>
            <a:ext uri="{FF2B5EF4-FFF2-40B4-BE49-F238E27FC236}">
              <a16:creationId xmlns:a16="http://schemas.microsoft.com/office/drawing/2014/main" id="{044B0909-C6BA-4180-A877-7DFF867F5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152398</xdr:colOff>
      <xdr:row>12</xdr:row>
      <xdr:rowOff>104774</xdr:rowOff>
    </xdr:from>
    <xdr:to>
      <xdr:col>18</xdr:col>
      <xdr:colOff>171450</xdr:colOff>
      <xdr:row>21</xdr:row>
      <xdr:rowOff>133349</xdr:rowOff>
    </xdr:to>
    <xdr:graphicFrame macro="">
      <xdr:nvGraphicFramePr>
        <xdr:cNvPr id="6" name="Chart 5">
          <a:extLst>
            <a:ext uri="{FF2B5EF4-FFF2-40B4-BE49-F238E27FC236}">
              <a16:creationId xmlns:a16="http://schemas.microsoft.com/office/drawing/2014/main" id="{22E96E91-6FEB-4945-8910-AA5EF56F4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190499</xdr:colOff>
      <xdr:row>2</xdr:row>
      <xdr:rowOff>9525</xdr:rowOff>
    </xdr:from>
    <xdr:ext cx="3609976" cy="704849"/>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F278BDE-79FA-4A9D-B4E8-EEF3E69684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05699" y="847725"/>
              <a:ext cx="3609976"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180975</xdr:colOff>
      <xdr:row>5</xdr:row>
      <xdr:rowOff>180975</xdr:rowOff>
    </xdr:from>
    <xdr:ext cx="3629025" cy="1200150"/>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3C01B482-7D83-4ACA-AEB0-852856EBA4E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496175" y="1590675"/>
              <a:ext cx="362902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onthly%20company%20budget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414342E2E6ACFE6/GAURAV%20JOSHI%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Budget Summary"/>
      <sheetName val="Income"/>
      <sheetName val="Personnel Expenses"/>
      <sheetName val="Operating Expenses"/>
    </sheetNames>
    <sheetDataSet>
      <sheetData sheetId="0">
        <row r="1">
          <cell r="B1" t="str">
            <v>COMPANY NAME</v>
          </cell>
        </row>
        <row r="2">
          <cell r="B2" t="str">
            <v>MONTHLY BUDGET</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LOAN"/>
      <sheetName val="CAR LOAN"/>
      <sheetName val="PERSONAL LOAN"/>
      <sheetName val="EDUCATION LOAN"/>
      <sheetName val="DASHBOARD -2"/>
      <sheetName val="DATA.... "/>
      <sheetName val="PIVOT TABLES"/>
      <sheetName val="DASHBOARD"/>
      <sheetName val="DATA.. "/>
      <sheetName val="CALCULATION  .."/>
      <sheetName val="DASHBOARD.."/>
      <sheetName val="Budget Dashboard"/>
      <sheetName val="Sheet2"/>
      <sheetName val="Data 1"/>
      <sheetName val="Data Calculation"/>
      <sheetName val="Dynamic 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E414342E2E6ACFE6/GAURAV%20JOSHI/ADVANCE%20EXCEL%20GAURAV%20JOSHI.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61.54579837963" createdVersion="6" refreshedVersion="6" minRefreshableVersion="3" recordCount="16" xr:uid="{679CDECB-1422-4F11-A820-CDB6D1E5EB63}">
  <cacheSource type="worksheet">
    <worksheetSource name="Table2" r:id="rId2"/>
  </cacheSource>
  <cacheFields count="10">
    <cacheField name="ORDER" numFmtId="0">
      <sharedItems containsSemiMixedTypes="0" containsString="0" containsNumber="1" containsInteger="1" minValue="1000" maxValue="1675" count="16">
        <n v="1015"/>
        <n v="1016"/>
        <n v="1017"/>
        <n v="1018"/>
        <n v="1045"/>
        <n v="1020"/>
        <n v="1090"/>
        <n v="1050"/>
        <n v="1675"/>
        <n v="1024"/>
        <n v="1025"/>
        <n v="1026"/>
        <n v="1000"/>
        <n v="1028"/>
        <n v="1555"/>
        <n v="1030"/>
      </sharedItems>
    </cacheField>
    <cacheField name="ORDER DATE" numFmtId="14">
      <sharedItems containsSemiMixedTypes="0" containsNonDate="0" containsDate="1" containsString="0" minDate="2025-01-01T00:00:00" maxDate="2025-12-28T00:00:00" count="16">
        <d v="2025-01-01T00:00:00"/>
        <d v="2025-02-15T00:00:00"/>
        <d v="2025-04-01T00:00:00"/>
        <d v="2025-05-16T00:00:00"/>
        <d v="2025-06-30T00:00:00"/>
        <d v="2025-08-14T00:00:00"/>
        <d v="2025-09-28T00:00:00"/>
        <d v="2025-11-12T00:00:00"/>
        <d v="2025-12-27T00:00:00"/>
        <d v="2025-02-10T00:00:00"/>
        <d v="2025-03-27T00:00:00"/>
        <d v="2025-05-11T00:00:00"/>
        <d v="2025-06-25T00:00:00"/>
        <d v="2025-08-09T00:00:00"/>
        <d v="2025-09-23T00:00:00"/>
        <d v="2025-11-07T00:00:00"/>
      </sharedItems>
      <fieldGroup par="9" base="1">
        <rangePr groupBy="days" startDate="2025-01-01T00:00:00" endDate="2025-12-28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2/2025"/>
        </groupItems>
      </fieldGroup>
    </cacheField>
    <cacheField name="CUSTOMER" numFmtId="0">
      <sharedItems containsSemiMixedTypes="0" containsString="0" containsNumber="1" containsInteger="1" minValue="3" maxValue="35"/>
    </cacheField>
    <cacheField name="CUSTOMER NAME" numFmtId="0">
      <sharedItems count="11">
        <s v="COMPANY VBA"/>
        <s v="COMPANY A"/>
        <s v="COMPANY TDS"/>
        <s v="COMPANY TATA"/>
        <s v="COMPANY XYZ"/>
        <s v="COMPANY F" u="1"/>
        <s v="COMPANY UFF" u="1"/>
        <s v="COMPANY B" u="1"/>
        <s v="COMPANY UU" u="1"/>
        <s v="COMPANY BUI" u="1"/>
        <s v="COMPANY GG" u="1"/>
      </sharedItems>
    </cacheField>
    <cacheField name="ADDRESS" numFmtId="0">
      <sharedItems/>
    </cacheField>
    <cacheField name="CITY" numFmtId="0">
      <sharedItems/>
    </cacheField>
    <cacheField name="SALES" numFmtId="0">
      <sharedItems containsSemiMixedTypes="0" containsString="0" containsNumber="1" containsInteger="1" minValue="30000" maxValue="700000"/>
    </cacheField>
    <cacheField name="REGION" numFmtId="0">
      <sharedItems count="4">
        <s v="EAST"/>
        <s v="WEST"/>
        <s v="NORTH"/>
        <s v="SOUTH"/>
      </sharedItems>
    </cacheField>
    <cacheField name="SALESPERSON" numFmtId="0">
      <sharedItems count="6">
        <s v="ABHINAV"/>
        <s v="RAJESH"/>
        <s v="SURESH"/>
        <s v="KISHOR"/>
        <s v="KRISHNA"/>
        <s v="PRIYA"/>
      </sharedItems>
    </cacheField>
    <cacheField name="Months" numFmtId="0" databaseField="0">
      <fieldGroup base="1">
        <rangePr groupBy="months" startDate="2025-01-01T00:00:00" endDate="2025-12-28T00:00:00"/>
        <groupItems count="14">
          <s v="&lt;01/01/2025"/>
          <s v="Jan"/>
          <s v="Feb"/>
          <s v="Mar"/>
          <s v="Apr"/>
          <s v="May"/>
          <s v="Jun"/>
          <s v="Jul"/>
          <s v="Aug"/>
          <s v="Sep"/>
          <s v="Oct"/>
          <s v="Nov"/>
          <s v="Dec"/>
          <s v="&gt;28/12/2025"/>
        </groupItems>
      </fieldGroup>
    </cacheField>
  </cacheFields>
  <extLst>
    <ext xmlns:x14="http://schemas.microsoft.com/office/spreadsheetml/2009/9/main" uri="{725AE2AE-9491-48be-B2B4-4EB974FC3084}">
      <x14:pivotCacheDefinition pivotCacheId="1908054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27"/>
    <x v="0"/>
    <s v="789 STREET ROAD "/>
    <s v="VIKROLI "/>
    <n v="500000"/>
    <x v="0"/>
    <x v="0"/>
  </r>
  <r>
    <x v="1"/>
    <x v="1"/>
    <n v="8"/>
    <x v="1"/>
    <s v="790 STREET ROAD "/>
    <s v="BHANDUP"/>
    <n v="700000"/>
    <x v="1"/>
    <x v="1"/>
  </r>
  <r>
    <x v="2"/>
    <x v="2"/>
    <n v="9"/>
    <x v="0"/>
    <s v="791 STREET ROAD "/>
    <s v="MUMBAI"/>
    <n v="300000"/>
    <x v="2"/>
    <x v="2"/>
  </r>
  <r>
    <x v="3"/>
    <x v="3"/>
    <n v="35"/>
    <x v="2"/>
    <s v="792 STREET ROAD "/>
    <s v="LOS ANGELAS"/>
    <n v="250000"/>
    <x v="3"/>
    <x v="3"/>
  </r>
  <r>
    <x v="4"/>
    <x v="4"/>
    <n v="10"/>
    <x v="1"/>
    <s v="793 STREET ROAD "/>
    <s v="MULUND"/>
    <n v="100000"/>
    <x v="0"/>
    <x v="4"/>
  </r>
  <r>
    <x v="5"/>
    <x v="5"/>
    <n v="15"/>
    <x v="3"/>
    <s v="794 STREET ROAD "/>
    <s v="VIKROLI "/>
    <n v="95000"/>
    <x v="1"/>
    <x v="5"/>
  </r>
  <r>
    <x v="6"/>
    <x v="6"/>
    <n v="9"/>
    <x v="1"/>
    <s v="795 STREET ROAD "/>
    <s v="BHANDUP"/>
    <n v="300600"/>
    <x v="2"/>
    <x v="0"/>
  </r>
  <r>
    <x v="7"/>
    <x v="7"/>
    <n v="9"/>
    <x v="4"/>
    <s v="796 STREET ROAD "/>
    <s v="MUMBAI"/>
    <n v="87000"/>
    <x v="3"/>
    <x v="1"/>
  </r>
  <r>
    <x v="8"/>
    <x v="8"/>
    <n v="3"/>
    <x v="1"/>
    <s v="797 STREET ROAD "/>
    <s v="LOS ANGELAS"/>
    <n v="75000"/>
    <x v="0"/>
    <x v="2"/>
  </r>
  <r>
    <x v="9"/>
    <x v="9"/>
    <n v="3"/>
    <x v="0"/>
    <s v="798 STREET ROAD "/>
    <s v="MULUND"/>
    <n v="100000"/>
    <x v="1"/>
    <x v="3"/>
  </r>
  <r>
    <x v="10"/>
    <x v="10"/>
    <n v="27"/>
    <x v="4"/>
    <s v="799 STREET ROAD "/>
    <s v="VIKROLI "/>
    <n v="61000"/>
    <x v="2"/>
    <x v="4"/>
  </r>
  <r>
    <x v="11"/>
    <x v="11"/>
    <n v="3"/>
    <x v="2"/>
    <s v="800 STREET ROAD "/>
    <s v="BHANDUP"/>
    <n v="400000"/>
    <x v="3"/>
    <x v="5"/>
  </r>
  <r>
    <x v="12"/>
    <x v="12"/>
    <n v="3"/>
    <x v="4"/>
    <s v="801 STREET ROAD "/>
    <s v="MUMBAI"/>
    <n v="50000"/>
    <x v="0"/>
    <x v="0"/>
  </r>
  <r>
    <x v="13"/>
    <x v="13"/>
    <n v="4"/>
    <x v="0"/>
    <s v="802 STREET ROAD "/>
    <s v="LOS ANGELAS"/>
    <n v="340000"/>
    <x v="1"/>
    <x v="1"/>
  </r>
  <r>
    <x v="14"/>
    <x v="14"/>
    <n v="4"/>
    <x v="3"/>
    <s v="803 STREET ROAD "/>
    <s v="MULUND"/>
    <n v="30000"/>
    <x v="2"/>
    <x v="2"/>
  </r>
  <r>
    <x v="15"/>
    <x v="15"/>
    <n v="4"/>
    <x v="3"/>
    <s v="804 STREET ROAD "/>
    <s v="VIKROLI "/>
    <n v="250000"/>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04E19-5036-4179-994B-93D460A97A54}"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2">
  <location ref="D3:E10"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items count="5">
        <item x="0"/>
        <item x="2"/>
        <item x="3"/>
        <item x="1"/>
        <item t="default"/>
      </items>
    </pivotField>
    <pivotField axis="axisRow" showAll="0">
      <items count="7">
        <item x="0"/>
        <item x="3"/>
        <item x="4"/>
        <item x="5"/>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i>
    <i>
      <x v="1"/>
    </i>
    <i>
      <x v="2"/>
    </i>
    <i>
      <x v="3"/>
    </i>
    <i>
      <x v="4"/>
    </i>
    <i>
      <x v="5"/>
    </i>
    <i t="grand">
      <x/>
    </i>
  </rowItems>
  <colItems count="1">
    <i/>
  </colItems>
  <dataFields count="1">
    <dataField name="Sum of SALES" fld="6" baseField="0" baseItem="0"/>
  </dataFields>
  <chartFormats count="9">
    <chartFormat chart="26"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8" count="1" selected="0">
            <x v="5"/>
          </reference>
        </references>
      </pivotArea>
    </chartFormat>
    <chartFormat chart="49" format="4">
      <pivotArea type="data" outline="0" fieldPosition="0">
        <references count="2">
          <reference field="4294967294" count="1" selected="0">
            <x v="0"/>
          </reference>
          <reference field="8" count="1" selected="0">
            <x v="4"/>
          </reference>
        </references>
      </pivotArea>
    </chartFormat>
    <chartFormat chart="49" format="5">
      <pivotArea type="data" outline="0" fieldPosition="0">
        <references count="2">
          <reference field="4294967294" count="1" selected="0">
            <x v="0"/>
          </reference>
          <reference field="8" count="1" selected="0">
            <x v="2"/>
          </reference>
        </references>
      </pivotArea>
    </chartFormat>
    <chartFormat chart="49" format="6">
      <pivotArea type="data" outline="0" fieldPosition="0">
        <references count="2">
          <reference field="4294967294" count="1" selected="0">
            <x v="0"/>
          </reference>
          <reference field="8" count="1" selected="0">
            <x v="1"/>
          </reference>
        </references>
      </pivotArea>
    </chartFormat>
    <chartFormat chart="49" format="7">
      <pivotArea type="data" outline="0" fieldPosition="0">
        <references count="2">
          <reference field="4294967294" count="1" selected="0">
            <x v="0"/>
          </reference>
          <reference field="8" count="1" selected="0">
            <x v="0"/>
          </reference>
        </references>
      </pivotArea>
    </chartFormat>
    <chartFormat chart="50" format="8" series="1">
      <pivotArea type="data" outline="0" fieldPosition="0">
        <references count="1">
          <reference field="4294967294" count="1" selected="0">
            <x v="0"/>
          </reference>
        </references>
      </pivotArea>
    </chartFormat>
    <chartFormat chart="5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166ED-0900-4C27-86CC-946119EA208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A3:B14" firstHeaderRow="1" firstDataRow="1" firstDataCol="1"/>
  <pivotFields count="1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items count="5">
        <item x="0"/>
        <item x="2"/>
        <item x="3"/>
        <item x="1"/>
        <item t="default"/>
      </items>
    </pivotField>
    <pivotField showAll="0">
      <items count="7">
        <item x="0"/>
        <item x="3"/>
        <item x="4"/>
        <item x="5"/>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11">
    <i>
      <x v="1"/>
    </i>
    <i>
      <x v="2"/>
    </i>
    <i>
      <x v="3"/>
    </i>
    <i>
      <x v="4"/>
    </i>
    <i>
      <x v="5"/>
    </i>
    <i>
      <x v="6"/>
    </i>
    <i>
      <x v="8"/>
    </i>
    <i>
      <x v="9"/>
    </i>
    <i>
      <x v="11"/>
    </i>
    <i>
      <x v="12"/>
    </i>
    <i t="grand">
      <x/>
    </i>
  </rowItems>
  <colItems count="1">
    <i/>
  </colItems>
  <dataFields count="1">
    <dataField name="Sum of SALES" fld="6" baseField="0" baseItem="0"/>
  </dataFields>
  <chartFormats count="12">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9" count="1" selected="0">
            <x v="5"/>
          </reference>
        </references>
      </pivotArea>
    </chartFormat>
    <chartFormat chart="26" format="4">
      <pivotArea type="data" outline="0" fieldPosition="0">
        <references count="2">
          <reference field="4294967294" count="1" selected="0">
            <x v="0"/>
          </reference>
          <reference field="9" count="1" selected="0">
            <x v="2"/>
          </reference>
        </references>
      </pivotArea>
    </chartFormat>
    <chartFormat chart="26" format="5">
      <pivotArea type="data" outline="0" fieldPosition="0">
        <references count="2">
          <reference field="4294967294" count="1" selected="0">
            <x v="0"/>
          </reference>
          <reference field="9" count="1" selected="0">
            <x v="3"/>
          </reference>
        </references>
      </pivotArea>
    </chartFormat>
    <chartFormat chart="26" format="6">
      <pivotArea type="data" outline="0" fieldPosition="0">
        <references count="2">
          <reference field="4294967294" count="1" selected="0">
            <x v="0"/>
          </reference>
          <reference field="9" count="1" selected="0">
            <x v="4"/>
          </reference>
        </references>
      </pivotArea>
    </chartFormat>
    <chartFormat chart="26" format="7">
      <pivotArea type="data" outline="0" fieldPosition="0">
        <references count="2">
          <reference field="4294967294" count="1" selected="0">
            <x v="0"/>
          </reference>
          <reference field="9" count="1" selected="0">
            <x v="6"/>
          </reference>
        </references>
      </pivotArea>
    </chartFormat>
    <chartFormat chart="26" format="8">
      <pivotArea type="data" outline="0" fieldPosition="0">
        <references count="2">
          <reference field="4294967294" count="1" selected="0">
            <x v="0"/>
          </reference>
          <reference field="9" count="1" selected="0">
            <x v="8"/>
          </reference>
        </references>
      </pivotArea>
    </chartFormat>
    <chartFormat chart="26" format="9">
      <pivotArea type="data" outline="0" fieldPosition="0">
        <references count="2">
          <reference field="4294967294" count="1" selected="0">
            <x v="0"/>
          </reference>
          <reference field="9" count="1" selected="0">
            <x v="9"/>
          </reference>
        </references>
      </pivotArea>
    </chartFormat>
    <chartFormat chart="26" format="10">
      <pivotArea type="data" outline="0" fieldPosition="0">
        <references count="2">
          <reference field="4294967294" count="1" selected="0">
            <x v="0"/>
          </reference>
          <reference field="9" count="1" selected="0">
            <x v="11"/>
          </reference>
        </references>
      </pivotArea>
    </chartFormat>
    <chartFormat chart="26" format="11">
      <pivotArea type="data" outline="0" fieldPosition="0">
        <references count="2">
          <reference field="4294967294" count="1" selected="0">
            <x v="0"/>
          </reference>
          <reference field="9" count="1" selected="0">
            <x v="12"/>
          </reference>
        </references>
      </pivotArea>
    </chartFormat>
    <chartFormat chart="27" format="12"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7044B1-571A-4209-BF95-F4A47496E735}"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6">
  <location ref="M3:N20" firstHeaderRow="1" firstDataRow="1" firstDataCol="1"/>
  <pivotFields count="10">
    <pivotField axis="axisRow" showAll="0" sortType="ascending">
      <items count="17">
        <item x="12"/>
        <item x="0"/>
        <item x="1"/>
        <item x="2"/>
        <item x="3"/>
        <item x="5"/>
        <item x="9"/>
        <item x="10"/>
        <item x="11"/>
        <item x="13"/>
        <item x="15"/>
        <item x="4"/>
        <item x="7"/>
        <item x="6"/>
        <item x="14"/>
        <item x="8"/>
        <item t="default"/>
      </items>
      <autoSortScope>
        <pivotArea dataOnly="0" outline="0" fieldPosition="0">
          <references count="1">
            <reference field="4294967294" count="1" selected="0">
              <x v="0"/>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items count="5">
        <item x="0"/>
        <item x="2"/>
        <item x="3"/>
        <item x="1"/>
        <item t="default"/>
      </items>
    </pivotField>
    <pivotField showAll="0">
      <items count="7">
        <item x="0"/>
        <item x="3"/>
        <item x="4"/>
        <item x="5"/>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7">
    <i>
      <x v="14"/>
    </i>
    <i>
      <x/>
    </i>
    <i>
      <x v="7"/>
    </i>
    <i>
      <x v="15"/>
    </i>
    <i>
      <x v="12"/>
    </i>
    <i>
      <x v="5"/>
    </i>
    <i>
      <x v="6"/>
    </i>
    <i>
      <x v="11"/>
    </i>
    <i>
      <x v="10"/>
    </i>
    <i>
      <x v="4"/>
    </i>
    <i>
      <x v="3"/>
    </i>
    <i>
      <x v="13"/>
    </i>
    <i>
      <x v="9"/>
    </i>
    <i>
      <x v="8"/>
    </i>
    <i>
      <x v="1"/>
    </i>
    <i>
      <x v="2"/>
    </i>
    <i t="grand">
      <x/>
    </i>
  </rowItems>
  <colItems count="1">
    <i/>
  </colItems>
  <dataFields count="1">
    <dataField name="Sum of SALES" fld="6" baseField="0" baseItem="0"/>
  </dataFields>
  <chartFormats count="21">
    <chartFormat chart="51" format="2" series="1">
      <pivotArea type="data" outline="0" fieldPosition="0">
        <references count="1">
          <reference field="4294967294" count="1" selected="0">
            <x v="0"/>
          </reference>
        </references>
      </pivotArea>
    </chartFormat>
    <chartFormat chart="52" format="3"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1" format="3">
      <pivotArea type="data" outline="0" fieldPosition="0">
        <references count="2">
          <reference field="4294967294" count="1" selected="0">
            <x v="0"/>
          </reference>
          <reference field="0" count="1" selected="0">
            <x v="14"/>
          </reference>
        </references>
      </pivotArea>
    </chartFormat>
    <chartFormat chart="51" format="4">
      <pivotArea type="data" outline="0" fieldPosition="0">
        <references count="2">
          <reference field="4294967294" count="1" selected="0">
            <x v="0"/>
          </reference>
          <reference field="0" count="1" selected="0">
            <x v="0"/>
          </reference>
        </references>
      </pivotArea>
    </chartFormat>
    <chartFormat chart="51" format="5">
      <pivotArea type="data" outline="0" fieldPosition="0">
        <references count="2">
          <reference field="4294967294" count="1" selected="0">
            <x v="0"/>
          </reference>
          <reference field="0" count="1" selected="0">
            <x v="7"/>
          </reference>
        </references>
      </pivotArea>
    </chartFormat>
    <chartFormat chart="51" format="6">
      <pivotArea type="data" outline="0" fieldPosition="0">
        <references count="2">
          <reference field="4294967294" count="1" selected="0">
            <x v="0"/>
          </reference>
          <reference field="0" count="1" selected="0">
            <x v="15"/>
          </reference>
        </references>
      </pivotArea>
    </chartFormat>
    <chartFormat chart="51" format="7">
      <pivotArea type="data" outline="0" fieldPosition="0">
        <references count="2">
          <reference field="4294967294" count="1" selected="0">
            <x v="0"/>
          </reference>
          <reference field="0" count="1" selected="0">
            <x v="12"/>
          </reference>
        </references>
      </pivotArea>
    </chartFormat>
    <chartFormat chart="51" format="8">
      <pivotArea type="data" outline="0" fieldPosition="0">
        <references count="2">
          <reference field="4294967294" count="1" selected="0">
            <x v="0"/>
          </reference>
          <reference field="0" count="1" selected="0">
            <x v="5"/>
          </reference>
        </references>
      </pivotArea>
    </chartFormat>
    <chartFormat chart="51" format="9">
      <pivotArea type="data" outline="0" fieldPosition="0">
        <references count="2">
          <reference field="4294967294" count="1" selected="0">
            <x v="0"/>
          </reference>
          <reference field="0" count="1" selected="0">
            <x v="6"/>
          </reference>
        </references>
      </pivotArea>
    </chartFormat>
    <chartFormat chart="51" format="10">
      <pivotArea type="data" outline="0" fieldPosition="0">
        <references count="2">
          <reference field="4294967294" count="1" selected="0">
            <x v="0"/>
          </reference>
          <reference field="0" count="1" selected="0">
            <x v="11"/>
          </reference>
        </references>
      </pivotArea>
    </chartFormat>
    <chartFormat chart="51" format="11">
      <pivotArea type="data" outline="0" fieldPosition="0">
        <references count="2">
          <reference field="4294967294" count="1" selected="0">
            <x v="0"/>
          </reference>
          <reference field="0" count="1" selected="0">
            <x v="10"/>
          </reference>
        </references>
      </pivotArea>
    </chartFormat>
    <chartFormat chart="51" format="12">
      <pivotArea type="data" outline="0" fieldPosition="0">
        <references count="2">
          <reference field="4294967294" count="1" selected="0">
            <x v="0"/>
          </reference>
          <reference field="0" count="1" selected="0">
            <x v="4"/>
          </reference>
        </references>
      </pivotArea>
    </chartFormat>
    <chartFormat chart="51" format="13">
      <pivotArea type="data" outline="0" fieldPosition="0">
        <references count="2">
          <reference field="4294967294" count="1" selected="0">
            <x v="0"/>
          </reference>
          <reference field="0" count="1" selected="0">
            <x v="3"/>
          </reference>
        </references>
      </pivotArea>
    </chartFormat>
    <chartFormat chart="51" format="14">
      <pivotArea type="data" outline="0" fieldPosition="0">
        <references count="2">
          <reference field="4294967294" count="1" selected="0">
            <x v="0"/>
          </reference>
          <reference field="0" count="1" selected="0">
            <x v="13"/>
          </reference>
        </references>
      </pivotArea>
    </chartFormat>
    <chartFormat chart="51" format="15">
      <pivotArea type="data" outline="0" fieldPosition="0">
        <references count="2">
          <reference field="4294967294" count="1" selected="0">
            <x v="0"/>
          </reference>
          <reference field="0" count="1" selected="0">
            <x v="9"/>
          </reference>
        </references>
      </pivotArea>
    </chartFormat>
    <chartFormat chart="51" format="16">
      <pivotArea type="data" outline="0" fieldPosition="0">
        <references count="2">
          <reference field="4294967294" count="1" selected="0">
            <x v="0"/>
          </reference>
          <reference field="0" count="1" selected="0">
            <x v="8"/>
          </reference>
        </references>
      </pivotArea>
    </chartFormat>
    <chartFormat chart="51" format="17">
      <pivotArea type="data" outline="0" fieldPosition="0">
        <references count="2">
          <reference field="4294967294" count="1" selected="0">
            <x v="0"/>
          </reference>
          <reference field="0" count="1" selected="0">
            <x v="1"/>
          </reference>
        </references>
      </pivotArea>
    </chartFormat>
    <chartFormat chart="51" format="18">
      <pivotArea type="data" outline="0" fieldPosition="0">
        <references count="2">
          <reference field="4294967294" count="1" selected="0">
            <x v="0"/>
          </reference>
          <reference field="0" count="1" selected="0">
            <x v="2"/>
          </reference>
        </references>
      </pivotArea>
    </chartFormat>
    <chartFormat chart="54" format="19" series="1">
      <pivotArea type="data" outline="0" fieldPosition="0">
        <references count="1">
          <reference field="4294967294" count="1" selected="0">
            <x v="0"/>
          </reference>
        </references>
      </pivotArea>
    </chartFormat>
    <chartFormat chart="55"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545586-78BD-4443-B4DE-5456188DC129}"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9">
  <location ref="J3:K9"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12">
        <item x="1"/>
        <item m="1" x="7"/>
        <item m="1" x="9"/>
        <item m="1" x="5"/>
        <item m="1" x="10"/>
        <item x="2"/>
        <item m="1" x="6"/>
        <item m="1" x="8"/>
        <item x="3"/>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2"/>
        <item x="3"/>
        <item x="1"/>
        <item t="default"/>
      </items>
    </pivotField>
    <pivotField showAll="0">
      <items count="7">
        <item x="0"/>
        <item x="3"/>
        <item x="4"/>
        <item x="5"/>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v="10"/>
    </i>
    <i>
      <x/>
    </i>
    <i>
      <x v="5"/>
    </i>
    <i>
      <x v="8"/>
    </i>
    <i>
      <x v="9"/>
    </i>
    <i t="grand">
      <x/>
    </i>
  </rowItems>
  <colItems count="1">
    <i/>
  </colItems>
  <dataFields count="1">
    <dataField name="Sum of SALES" fld="6" baseField="0" baseItem="0"/>
  </dataFields>
  <chartFormats count="8">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3" count="1" selected="0">
            <x v="9"/>
          </reference>
        </references>
      </pivotArea>
    </chartFormat>
    <chartFormat chart="46" format="4">
      <pivotArea type="data" outline="0" fieldPosition="0">
        <references count="2">
          <reference field="4294967294" count="1" selected="0">
            <x v="0"/>
          </reference>
          <reference field="3" count="1" selected="0">
            <x v="8"/>
          </reference>
        </references>
      </pivotArea>
    </chartFormat>
    <chartFormat chart="46" format="5">
      <pivotArea type="data" outline="0" fieldPosition="0">
        <references count="2">
          <reference field="4294967294" count="1" selected="0">
            <x v="0"/>
          </reference>
          <reference field="3" count="1" selected="0">
            <x v="5"/>
          </reference>
        </references>
      </pivotArea>
    </chartFormat>
    <chartFormat chart="46" format="6">
      <pivotArea type="data" outline="0" fieldPosition="0">
        <references count="2">
          <reference field="4294967294" count="1" selected="0">
            <x v="0"/>
          </reference>
          <reference field="3" count="1" selected="0">
            <x v="0"/>
          </reference>
        </references>
      </pivotArea>
    </chartFormat>
    <chartFormat chart="46" format="7">
      <pivotArea type="data" outline="0" fieldPosition="0">
        <references count="2">
          <reference field="4294967294" count="1" selected="0">
            <x v="0"/>
          </reference>
          <reference field="3" count="1" selected="0">
            <x v="10"/>
          </reference>
        </references>
      </pivotArea>
    </chartFormat>
    <chartFormat chart="47" format="8"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906C9C-1FD4-4D1A-9DD9-BECBEA3C3217}"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0">
  <location ref="G3:H8"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7">
        <item x="0"/>
        <item x="3"/>
        <item x="4"/>
        <item x="5"/>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v="1"/>
    </i>
    <i>
      <x/>
    </i>
    <i>
      <x v="2"/>
    </i>
    <i>
      <x v="3"/>
    </i>
    <i t="grand">
      <x/>
    </i>
  </rowItems>
  <colItems count="1">
    <i/>
  </colItems>
  <dataFields count="1">
    <dataField name="Sum of SALES" fld="6" baseField="0" baseItem="0"/>
  </dataFields>
  <chartFormats count="6">
    <chartFormat chart="57" format="2" series="1">
      <pivotArea type="data" outline="0" fieldPosition="0">
        <references count="1">
          <reference field="4294967294" count="1" selected="0">
            <x v="0"/>
          </reference>
        </references>
      </pivotArea>
    </chartFormat>
    <chartFormat chart="57" format="3">
      <pivotArea type="data" outline="0" fieldPosition="0">
        <references count="2">
          <reference field="4294967294" count="1" selected="0">
            <x v="0"/>
          </reference>
          <reference field="7" count="1" selected="0">
            <x v="0"/>
          </reference>
        </references>
      </pivotArea>
    </chartFormat>
    <chartFormat chart="57" format="4">
      <pivotArea type="data" outline="0" fieldPosition="0">
        <references count="2">
          <reference field="4294967294" count="1" selected="0">
            <x v="0"/>
          </reference>
          <reference field="7" count="1" selected="0">
            <x v="2"/>
          </reference>
        </references>
      </pivotArea>
    </chartFormat>
    <chartFormat chart="57" format="5">
      <pivotArea type="data" outline="0" fieldPosition="0">
        <references count="2">
          <reference field="4294967294" count="1" selected="0">
            <x v="0"/>
          </reference>
          <reference field="7" count="1" selected="0">
            <x v="3"/>
          </reference>
        </references>
      </pivotArea>
    </chartFormat>
    <chartFormat chart="58" format="6" series="1">
      <pivotArea type="data" outline="0" fieldPosition="0">
        <references count="1">
          <reference field="4294967294" count="1" selected="0">
            <x v="0"/>
          </reference>
        </references>
      </pivotArea>
    </chartFormat>
    <chartFormat chart="5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6E646E-4112-4E3C-A9BE-50DE58F95ACF}" sourceName="REGION">
  <pivotTables>
    <pivotTable tabId="2" name="PivotTable1"/>
    <pivotTable tabId="2" name="PivotTable2"/>
    <pivotTable tabId="2" name="PivotTable3"/>
    <pivotTable tabId="2" name="PivotTable4"/>
    <pivotTable tabId="2" name="PivotTable5"/>
  </pivotTables>
  <data>
    <tabular pivotCacheId="1908054216">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586CFD9-2461-46E7-8811-1888A56A4C59}" sourceName="SALESPERSON">
  <pivotTables>
    <pivotTable tabId="2" name="PivotTable1"/>
    <pivotTable tabId="2" name="PivotTable2"/>
    <pivotTable tabId="2" name="PivotTable3"/>
    <pivotTable tabId="2" name="PivotTable4"/>
    <pivotTable tabId="2" name="PivotTable5"/>
  </pivotTables>
  <data>
    <tabular pivotCacheId="1908054216">
      <items count="6">
        <i x="0" s="1"/>
        <i x="3" s="1"/>
        <i x="4" s="1"/>
        <i x="5"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FFC8406-ECE1-4C48-AE03-D4CC44117E07}" cache="Slicer_REGION" caption="REGION" columnCount="4" rowHeight="241300"/>
  <slicer name="SALESPERSON" xr10:uid="{9A5EC4F3-B4D5-4AF7-B99B-62944F88E553}" cache="Slicer_SALESPERSON" caption="SALESPERS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E5460F-4081-4F7D-9194-6FDC80DB8854}" name="Table2" displayName="Table2" ref="A3:I19" totalsRowShown="0" headerRowDxfId="13" dataDxfId="12" headerRowBorderDxfId="10" tableBorderDxfId="11" totalsRowBorderDxfId="9">
  <autoFilter ref="A3:I19" xr:uid="{A852D43D-23A4-44EB-97A0-27562D347134}"/>
  <tableColumns count="9">
    <tableColumn id="1" xr3:uid="{DC507895-E5D8-4D2E-9999-073C3A13A2DA}" name="ORDER" dataDxfId="8"/>
    <tableColumn id="2" xr3:uid="{60132192-6507-4D35-A9E3-194EFA0B259B}" name="ORDER DATE" dataDxfId="7"/>
    <tableColumn id="3" xr3:uid="{AFB6D997-B008-40D7-84D6-366173CB4D02}" name="CUSTOMER" dataDxfId="6"/>
    <tableColumn id="4" xr3:uid="{BD6024A6-AF31-4714-B183-65A76FBD3F02}" name="CUSTOMER NAME" dataDxfId="5"/>
    <tableColumn id="5" xr3:uid="{C5E18BE0-69EA-46E0-BD47-CB2DD2B34839}" name="ADDRESS" dataDxfId="4"/>
    <tableColumn id="6" xr3:uid="{2EB897CE-9E3A-4C81-BE2D-95C93F5E1724}" name="CITY" dataDxfId="3"/>
    <tableColumn id="7" xr3:uid="{282379D8-DF35-4E0F-86EF-D1DF83DC64F9}" name="SALES" dataDxfId="2"/>
    <tableColumn id="8" xr3:uid="{6BAC691E-BAB2-4CD4-9206-3E3CA1CCADE7}" name="REGION" dataDxfId="1"/>
    <tableColumn id="9" xr3:uid="{54C55278-EDBD-4431-8115-A7C824C454E0}" name="SALESPER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4B4E-5895-44E7-9021-7E1D75E73291}">
  <dimension ref="A2:I19"/>
  <sheetViews>
    <sheetView tabSelected="1" workbookViewId="0">
      <selection activeCell="E13" sqref="E13"/>
    </sheetView>
  </sheetViews>
  <sheetFormatPr defaultRowHeight="15" x14ac:dyDescent="0.25"/>
  <cols>
    <col min="1" max="1" width="12.140625" customWidth="1"/>
    <col min="2" max="2" width="17.42578125" customWidth="1"/>
    <col min="3" max="3" width="16.5703125" customWidth="1"/>
    <col min="4" max="4" width="23.7109375" customWidth="1"/>
    <col min="5" max="5" width="20.42578125" customWidth="1"/>
    <col min="6" max="6" width="19" customWidth="1"/>
    <col min="7" max="7" width="15.7109375" customWidth="1"/>
    <col min="8" max="8" width="15" customWidth="1"/>
    <col min="9" max="9" width="21.5703125" customWidth="1"/>
  </cols>
  <sheetData>
    <row r="2" spans="1:9" x14ac:dyDescent="0.25">
      <c r="A2" s="11" t="s">
        <v>49</v>
      </c>
      <c r="B2" s="11" t="s">
        <v>48</v>
      </c>
      <c r="C2" s="11" t="s">
        <v>47</v>
      </c>
      <c r="D2" s="11" t="s">
        <v>46</v>
      </c>
      <c r="E2" s="11" t="s">
        <v>45</v>
      </c>
      <c r="F2" s="11"/>
    </row>
    <row r="3" spans="1:9" x14ac:dyDescent="0.25">
      <c r="A3" s="10" t="s">
        <v>44</v>
      </c>
      <c r="B3" s="8" t="s">
        <v>43</v>
      </c>
      <c r="C3" s="8" t="s">
        <v>42</v>
      </c>
      <c r="D3" s="8" t="s">
        <v>41</v>
      </c>
      <c r="E3" s="8" t="s">
        <v>40</v>
      </c>
      <c r="F3" s="9" t="s">
        <v>39</v>
      </c>
      <c r="G3" s="8" t="s">
        <v>38</v>
      </c>
      <c r="H3" s="8" t="s">
        <v>37</v>
      </c>
      <c r="I3" s="8" t="s">
        <v>36</v>
      </c>
    </row>
    <row r="4" spans="1:9" x14ac:dyDescent="0.25">
      <c r="A4" s="7">
        <v>1015</v>
      </c>
      <c r="B4" s="4">
        <v>45658</v>
      </c>
      <c r="C4" s="1">
        <v>27</v>
      </c>
      <c r="D4" s="1" t="s">
        <v>13</v>
      </c>
      <c r="E4" s="1" t="s">
        <v>35</v>
      </c>
      <c r="F4" s="6" t="s">
        <v>2</v>
      </c>
      <c r="G4" s="8">
        <v>500000</v>
      </c>
      <c r="H4" s="8" t="s">
        <v>15</v>
      </c>
      <c r="I4" s="8" t="s">
        <v>14</v>
      </c>
    </row>
    <row r="5" spans="1:9" x14ac:dyDescent="0.25">
      <c r="A5" s="7">
        <v>1016</v>
      </c>
      <c r="B5" s="4">
        <v>45703</v>
      </c>
      <c r="C5" s="1">
        <v>8</v>
      </c>
      <c r="D5" s="1" t="s">
        <v>27</v>
      </c>
      <c r="E5" s="1" t="s">
        <v>34</v>
      </c>
      <c r="F5" s="6" t="s">
        <v>20</v>
      </c>
      <c r="G5" s="1">
        <v>700000</v>
      </c>
      <c r="H5" s="1" t="s">
        <v>10</v>
      </c>
      <c r="I5" s="1" t="s">
        <v>9</v>
      </c>
    </row>
    <row r="6" spans="1:9" x14ac:dyDescent="0.25">
      <c r="A6" s="7">
        <v>1017</v>
      </c>
      <c r="B6" s="4">
        <v>45748</v>
      </c>
      <c r="C6" s="1">
        <v>9</v>
      </c>
      <c r="D6" s="1" t="s">
        <v>13</v>
      </c>
      <c r="E6" s="1" t="s">
        <v>33</v>
      </c>
      <c r="F6" s="6" t="s">
        <v>16</v>
      </c>
      <c r="G6" s="1">
        <v>300000</v>
      </c>
      <c r="H6" s="1" t="s">
        <v>6</v>
      </c>
      <c r="I6" s="1" t="s">
        <v>5</v>
      </c>
    </row>
    <row r="7" spans="1:9" x14ac:dyDescent="0.25">
      <c r="A7" s="7">
        <v>1018</v>
      </c>
      <c r="B7" s="4">
        <v>45793</v>
      </c>
      <c r="C7" s="1">
        <v>35</v>
      </c>
      <c r="D7" s="1" t="s">
        <v>22</v>
      </c>
      <c r="E7" s="1" t="s">
        <v>32</v>
      </c>
      <c r="F7" s="6" t="s">
        <v>11</v>
      </c>
      <c r="G7" s="1">
        <v>250000</v>
      </c>
      <c r="H7" s="1" t="s">
        <v>1</v>
      </c>
      <c r="I7" s="1" t="s">
        <v>0</v>
      </c>
    </row>
    <row r="8" spans="1:9" x14ac:dyDescent="0.25">
      <c r="A8" s="7">
        <v>1045</v>
      </c>
      <c r="B8" s="4">
        <v>45838</v>
      </c>
      <c r="C8" s="1">
        <v>10</v>
      </c>
      <c r="D8" s="1" t="s">
        <v>27</v>
      </c>
      <c r="E8" s="1" t="s">
        <v>31</v>
      </c>
      <c r="F8" s="6" t="s">
        <v>7</v>
      </c>
      <c r="G8" s="1">
        <v>100000</v>
      </c>
      <c r="H8" s="8" t="s">
        <v>15</v>
      </c>
      <c r="I8" s="1" t="s">
        <v>23</v>
      </c>
    </row>
    <row r="9" spans="1:9" x14ac:dyDescent="0.25">
      <c r="A9" s="7">
        <v>1020</v>
      </c>
      <c r="B9" s="4">
        <v>45883</v>
      </c>
      <c r="C9" s="1">
        <v>15</v>
      </c>
      <c r="D9" s="1" t="s">
        <v>4</v>
      </c>
      <c r="E9" s="1" t="s">
        <v>30</v>
      </c>
      <c r="F9" s="6" t="s">
        <v>2</v>
      </c>
      <c r="G9" s="1">
        <v>95000</v>
      </c>
      <c r="H9" s="1" t="s">
        <v>10</v>
      </c>
      <c r="I9" s="1" t="s">
        <v>19</v>
      </c>
    </row>
    <row r="10" spans="1:9" x14ac:dyDescent="0.25">
      <c r="A10" s="7">
        <v>1090</v>
      </c>
      <c r="B10" s="4">
        <v>45928</v>
      </c>
      <c r="C10" s="1">
        <v>9</v>
      </c>
      <c r="D10" s="1" t="s">
        <v>27</v>
      </c>
      <c r="E10" s="1" t="s">
        <v>29</v>
      </c>
      <c r="F10" s="6" t="s">
        <v>20</v>
      </c>
      <c r="G10" s="1">
        <v>300600</v>
      </c>
      <c r="H10" s="1" t="s">
        <v>6</v>
      </c>
      <c r="I10" s="8" t="s">
        <v>14</v>
      </c>
    </row>
    <row r="11" spans="1:9" x14ac:dyDescent="0.25">
      <c r="A11" s="7">
        <v>1050</v>
      </c>
      <c r="B11" s="4">
        <v>45973</v>
      </c>
      <c r="C11" s="1">
        <v>9</v>
      </c>
      <c r="D11" s="1" t="s">
        <v>18</v>
      </c>
      <c r="E11" s="1" t="s">
        <v>28</v>
      </c>
      <c r="F11" s="6" t="s">
        <v>16</v>
      </c>
      <c r="G11" s="1">
        <v>87000</v>
      </c>
      <c r="H11" s="1" t="s">
        <v>1</v>
      </c>
      <c r="I11" s="1" t="s">
        <v>9</v>
      </c>
    </row>
    <row r="12" spans="1:9" x14ac:dyDescent="0.25">
      <c r="A12" s="7">
        <v>1675</v>
      </c>
      <c r="B12" s="4">
        <v>46018</v>
      </c>
      <c r="C12" s="1">
        <v>3</v>
      </c>
      <c r="D12" s="1" t="s">
        <v>27</v>
      </c>
      <c r="E12" s="1" t="s">
        <v>26</v>
      </c>
      <c r="F12" s="6" t="s">
        <v>11</v>
      </c>
      <c r="G12" s="1">
        <v>75000</v>
      </c>
      <c r="H12" s="8" t="s">
        <v>15</v>
      </c>
      <c r="I12" s="1" t="s">
        <v>5</v>
      </c>
    </row>
    <row r="13" spans="1:9" x14ac:dyDescent="0.25">
      <c r="A13" s="7">
        <v>1024</v>
      </c>
      <c r="B13" s="4">
        <v>45698</v>
      </c>
      <c r="C13" s="1">
        <v>3</v>
      </c>
      <c r="D13" s="1" t="s">
        <v>13</v>
      </c>
      <c r="E13" s="1" t="s">
        <v>25</v>
      </c>
      <c r="F13" s="6" t="s">
        <v>7</v>
      </c>
      <c r="G13" s="1">
        <v>100000</v>
      </c>
      <c r="H13" s="1" t="s">
        <v>10</v>
      </c>
      <c r="I13" s="1" t="s">
        <v>0</v>
      </c>
    </row>
    <row r="14" spans="1:9" x14ac:dyDescent="0.25">
      <c r="A14" s="7">
        <v>1025</v>
      </c>
      <c r="B14" s="4">
        <v>45743</v>
      </c>
      <c r="C14" s="1">
        <v>27</v>
      </c>
      <c r="D14" s="1" t="s">
        <v>18</v>
      </c>
      <c r="E14" s="1" t="s">
        <v>24</v>
      </c>
      <c r="F14" s="6" t="s">
        <v>2</v>
      </c>
      <c r="G14" s="1">
        <v>61000</v>
      </c>
      <c r="H14" s="1" t="s">
        <v>6</v>
      </c>
      <c r="I14" s="1" t="s">
        <v>23</v>
      </c>
    </row>
    <row r="15" spans="1:9" x14ac:dyDescent="0.25">
      <c r="A15" s="7">
        <v>1026</v>
      </c>
      <c r="B15" s="4">
        <v>45788</v>
      </c>
      <c r="C15" s="1">
        <v>3</v>
      </c>
      <c r="D15" s="1" t="s">
        <v>22</v>
      </c>
      <c r="E15" s="1" t="s">
        <v>21</v>
      </c>
      <c r="F15" s="6" t="s">
        <v>20</v>
      </c>
      <c r="G15" s="1">
        <v>400000</v>
      </c>
      <c r="H15" s="1" t="s">
        <v>1</v>
      </c>
      <c r="I15" s="1" t="s">
        <v>19</v>
      </c>
    </row>
    <row r="16" spans="1:9" x14ac:dyDescent="0.25">
      <c r="A16" s="7">
        <v>1000</v>
      </c>
      <c r="B16" s="4">
        <v>45833</v>
      </c>
      <c r="C16" s="1">
        <v>3</v>
      </c>
      <c r="D16" s="1" t="s">
        <v>18</v>
      </c>
      <c r="E16" s="1" t="s">
        <v>17</v>
      </c>
      <c r="F16" s="6" t="s">
        <v>16</v>
      </c>
      <c r="G16" s="1">
        <v>50000</v>
      </c>
      <c r="H16" s="8" t="s">
        <v>15</v>
      </c>
      <c r="I16" s="8" t="s">
        <v>14</v>
      </c>
    </row>
    <row r="17" spans="1:9" x14ac:dyDescent="0.25">
      <c r="A17" s="7">
        <v>1028</v>
      </c>
      <c r="B17" s="4">
        <v>45878</v>
      </c>
      <c r="C17" s="1">
        <v>4</v>
      </c>
      <c r="D17" s="1" t="s">
        <v>13</v>
      </c>
      <c r="E17" s="1" t="s">
        <v>12</v>
      </c>
      <c r="F17" s="6" t="s">
        <v>11</v>
      </c>
      <c r="G17" s="1">
        <v>340000</v>
      </c>
      <c r="H17" s="1" t="s">
        <v>10</v>
      </c>
      <c r="I17" s="1" t="s">
        <v>9</v>
      </c>
    </row>
    <row r="18" spans="1:9" x14ac:dyDescent="0.25">
      <c r="A18" s="7">
        <v>1555</v>
      </c>
      <c r="B18" s="4">
        <v>45923</v>
      </c>
      <c r="C18" s="1">
        <v>4</v>
      </c>
      <c r="D18" s="1" t="s">
        <v>4</v>
      </c>
      <c r="E18" s="1" t="s">
        <v>8</v>
      </c>
      <c r="F18" s="6" t="s">
        <v>7</v>
      </c>
      <c r="G18" s="1">
        <v>30000</v>
      </c>
      <c r="H18" s="1" t="s">
        <v>6</v>
      </c>
      <c r="I18" s="1" t="s">
        <v>5</v>
      </c>
    </row>
    <row r="19" spans="1:9" x14ac:dyDescent="0.25">
      <c r="A19" s="5">
        <v>1030</v>
      </c>
      <c r="B19" s="4">
        <v>45968</v>
      </c>
      <c r="C19" s="2">
        <v>4</v>
      </c>
      <c r="D19" s="2" t="s">
        <v>4</v>
      </c>
      <c r="E19" s="2" t="s">
        <v>3</v>
      </c>
      <c r="F19" s="3" t="s">
        <v>2</v>
      </c>
      <c r="G19" s="2">
        <v>250000</v>
      </c>
      <c r="H19" s="1" t="s">
        <v>1</v>
      </c>
      <c r="I19" s="1" t="s">
        <v>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3EC1-5C8B-4154-99DB-1A31E3F664D3}">
  <dimension ref="A1:N20"/>
  <sheetViews>
    <sheetView workbookViewId="0">
      <selection activeCell="L2" sqref="L2"/>
    </sheetView>
  </sheetViews>
  <sheetFormatPr defaultRowHeight="15" x14ac:dyDescent="0.25"/>
  <cols>
    <col min="1" max="1" width="13.140625" bestFit="1" customWidth="1"/>
    <col min="2" max="2" width="12.7109375" bestFit="1" customWidth="1"/>
    <col min="4" max="4" width="13.140625" bestFit="1" customWidth="1"/>
    <col min="5" max="5" width="12.7109375" bestFit="1" customWidth="1"/>
    <col min="7" max="7" width="13.140625" bestFit="1" customWidth="1"/>
    <col min="8" max="8" width="12.7109375" bestFit="1" customWidth="1"/>
    <col min="10" max="10" width="15.28515625" bestFit="1" customWidth="1"/>
    <col min="11" max="11" width="12.7109375" bestFit="1" customWidth="1"/>
    <col min="13" max="13" width="13.140625" bestFit="1" customWidth="1"/>
    <col min="14" max="14" width="12.7109375" bestFit="1" customWidth="1"/>
  </cols>
  <sheetData>
    <row r="1" spans="1:14" x14ac:dyDescent="0.25">
      <c r="A1" s="15" t="s">
        <v>68</v>
      </c>
      <c r="B1" s="15"/>
      <c r="D1" s="15" t="s">
        <v>67</v>
      </c>
      <c r="E1" s="15"/>
      <c r="G1" s="15" t="s">
        <v>66</v>
      </c>
      <c r="H1" s="15"/>
      <c r="J1" s="15" t="s">
        <v>65</v>
      </c>
      <c r="K1" s="15"/>
      <c r="M1" s="15" t="s">
        <v>64</v>
      </c>
      <c r="N1" s="15"/>
    </row>
    <row r="3" spans="1:14" x14ac:dyDescent="0.25">
      <c r="A3" s="14" t="s">
        <v>63</v>
      </c>
      <c r="B3" t="s">
        <v>62</v>
      </c>
      <c r="D3" s="14" t="s">
        <v>63</v>
      </c>
      <c r="E3" t="s">
        <v>62</v>
      </c>
      <c r="G3" s="14" t="s">
        <v>63</v>
      </c>
      <c r="H3" t="s">
        <v>62</v>
      </c>
      <c r="J3" s="14" t="s">
        <v>63</v>
      </c>
      <c r="K3" t="s">
        <v>62</v>
      </c>
      <c r="M3" s="14" t="s">
        <v>63</v>
      </c>
      <c r="N3" t="s">
        <v>62</v>
      </c>
    </row>
    <row r="4" spans="1:14" x14ac:dyDescent="0.25">
      <c r="A4" s="13" t="s">
        <v>61</v>
      </c>
      <c r="B4" s="12">
        <v>500000</v>
      </c>
      <c r="D4" s="13" t="s">
        <v>14</v>
      </c>
      <c r="E4" s="12">
        <v>850600</v>
      </c>
      <c r="G4" s="13" t="s">
        <v>6</v>
      </c>
      <c r="H4" s="12">
        <v>691600</v>
      </c>
      <c r="J4" s="13" t="s">
        <v>13</v>
      </c>
      <c r="K4" s="12">
        <v>1240000</v>
      </c>
      <c r="M4" s="13">
        <v>1555</v>
      </c>
      <c r="N4" s="12">
        <v>30000</v>
      </c>
    </row>
    <row r="5" spans="1:14" x14ac:dyDescent="0.25">
      <c r="A5" s="13" t="s">
        <v>60</v>
      </c>
      <c r="B5" s="12">
        <v>800000</v>
      </c>
      <c r="D5" s="13" t="s">
        <v>0</v>
      </c>
      <c r="E5" s="12">
        <v>600000</v>
      </c>
      <c r="G5" s="13" t="s">
        <v>15</v>
      </c>
      <c r="H5" s="12">
        <v>725000</v>
      </c>
      <c r="J5" s="13" t="s">
        <v>27</v>
      </c>
      <c r="K5" s="12">
        <v>1175600</v>
      </c>
      <c r="M5" s="13">
        <v>1000</v>
      </c>
      <c r="N5" s="12">
        <v>50000</v>
      </c>
    </row>
    <row r="6" spans="1:14" x14ac:dyDescent="0.25">
      <c r="A6" s="13" t="s">
        <v>59</v>
      </c>
      <c r="B6" s="12">
        <v>61000</v>
      </c>
      <c r="D6" s="13" t="s">
        <v>23</v>
      </c>
      <c r="E6" s="12">
        <v>161000</v>
      </c>
      <c r="G6" s="13" t="s">
        <v>1</v>
      </c>
      <c r="H6" s="12">
        <v>987000</v>
      </c>
      <c r="J6" s="13" t="s">
        <v>22</v>
      </c>
      <c r="K6" s="12">
        <v>650000</v>
      </c>
      <c r="M6" s="13">
        <v>1025</v>
      </c>
      <c r="N6" s="12">
        <v>61000</v>
      </c>
    </row>
    <row r="7" spans="1:14" x14ac:dyDescent="0.25">
      <c r="A7" s="13" t="s">
        <v>58</v>
      </c>
      <c r="B7" s="12">
        <v>300000</v>
      </c>
      <c r="D7" s="13" t="s">
        <v>19</v>
      </c>
      <c r="E7" s="12">
        <v>495000</v>
      </c>
      <c r="G7" s="13" t="s">
        <v>10</v>
      </c>
      <c r="H7" s="12">
        <v>1235000</v>
      </c>
      <c r="J7" s="13" t="s">
        <v>4</v>
      </c>
      <c r="K7" s="12">
        <v>375000</v>
      </c>
      <c r="M7" s="13">
        <v>1675</v>
      </c>
      <c r="N7" s="12">
        <v>75000</v>
      </c>
    </row>
    <row r="8" spans="1:14" x14ac:dyDescent="0.25">
      <c r="A8" s="13" t="s">
        <v>57</v>
      </c>
      <c r="B8" s="12">
        <v>650000</v>
      </c>
      <c r="D8" s="13" t="s">
        <v>9</v>
      </c>
      <c r="E8" s="12">
        <v>1127000</v>
      </c>
      <c r="G8" s="13" t="s">
        <v>50</v>
      </c>
      <c r="H8" s="12">
        <v>3638600</v>
      </c>
      <c r="J8" s="13" t="s">
        <v>18</v>
      </c>
      <c r="K8" s="12">
        <v>198000</v>
      </c>
      <c r="M8" s="13">
        <v>1050</v>
      </c>
      <c r="N8" s="12">
        <v>87000</v>
      </c>
    </row>
    <row r="9" spans="1:14" x14ac:dyDescent="0.25">
      <c r="A9" s="13" t="s">
        <v>56</v>
      </c>
      <c r="B9" s="12">
        <v>150000</v>
      </c>
      <c r="D9" s="13" t="s">
        <v>5</v>
      </c>
      <c r="E9" s="12">
        <v>405000</v>
      </c>
      <c r="J9" s="13" t="s">
        <v>50</v>
      </c>
      <c r="K9" s="12">
        <v>3638600</v>
      </c>
      <c r="M9" s="13">
        <v>1020</v>
      </c>
      <c r="N9" s="12">
        <v>95000</v>
      </c>
    </row>
    <row r="10" spans="1:14" x14ac:dyDescent="0.25">
      <c r="A10" s="13" t="s">
        <v>55</v>
      </c>
      <c r="B10" s="12">
        <v>435000</v>
      </c>
      <c r="D10" s="13" t="s">
        <v>50</v>
      </c>
      <c r="E10" s="12">
        <v>3638600</v>
      </c>
      <c r="M10" s="13">
        <v>1024</v>
      </c>
      <c r="N10" s="12">
        <v>100000</v>
      </c>
    </row>
    <row r="11" spans="1:14" x14ac:dyDescent="0.25">
      <c r="A11" s="13" t="s">
        <v>54</v>
      </c>
      <c r="B11" s="12">
        <v>330600</v>
      </c>
      <c r="M11" s="13">
        <v>1045</v>
      </c>
      <c r="N11" s="12">
        <v>100000</v>
      </c>
    </row>
    <row r="12" spans="1:14" x14ac:dyDescent="0.25">
      <c r="A12" s="13" t="s">
        <v>53</v>
      </c>
      <c r="B12" s="12">
        <v>337000</v>
      </c>
      <c r="M12" s="13">
        <v>1030</v>
      </c>
      <c r="N12" s="12">
        <v>250000</v>
      </c>
    </row>
    <row r="13" spans="1:14" x14ac:dyDescent="0.25">
      <c r="A13" s="13" t="s">
        <v>52</v>
      </c>
      <c r="B13" s="12">
        <v>75000</v>
      </c>
      <c r="M13" s="13">
        <v>1018</v>
      </c>
      <c r="N13" s="12">
        <v>250000</v>
      </c>
    </row>
    <row r="14" spans="1:14" x14ac:dyDescent="0.25">
      <c r="A14" s="13" t="s">
        <v>50</v>
      </c>
      <c r="B14" s="12">
        <v>3638600</v>
      </c>
      <c r="M14" s="13">
        <v>1017</v>
      </c>
      <c r="N14" s="12">
        <v>300000</v>
      </c>
    </row>
    <row r="15" spans="1:14" x14ac:dyDescent="0.25">
      <c r="M15" s="13">
        <v>1090</v>
      </c>
      <c r="N15" s="12">
        <v>300600</v>
      </c>
    </row>
    <row r="16" spans="1:14" x14ac:dyDescent="0.25">
      <c r="G16" t="s">
        <v>51</v>
      </c>
      <c r="M16" s="13">
        <v>1028</v>
      </c>
      <c r="N16" s="12">
        <v>340000</v>
      </c>
    </row>
    <row r="17" spans="13:14" x14ac:dyDescent="0.25">
      <c r="M17" s="13">
        <v>1026</v>
      </c>
      <c r="N17" s="12">
        <v>400000</v>
      </c>
    </row>
    <row r="18" spans="13:14" x14ac:dyDescent="0.25">
      <c r="M18" s="13">
        <v>1015</v>
      </c>
      <c r="N18" s="12">
        <v>500000</v>
      </c>
    </row>
    <row r="19" spans="13:14" x14ac:dyDescent="0.25">
      <c r="M19" s="13">
        <v>1016</v>
      </c>
      <c r="N19" s="12">
        <v>700000</v>
      </c>
    </row>
    <row r="20" spans="13:14" x14ac:dyDescent="0.25">
      <c r="M20" s="13" t="s">
        <v>50</v>
      </c>
      <c r="N20" s="12">
        <v>3638600</v>
      </c>
    </row>
  </sheetData>
  <mergeCells count="5">
    <mergeCell ref="A1:B1"/>
    <mergeCell ref="D1:E1"/>
    <mergeCell ref="G1:H1"/>
    <mergeCell ref="J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BEA2E-1BE4-4B59-BC01-7BC7B91DB548}">
  <dimension ref="A1:U2"/>
  <sheetViews>
    <sheetView showGridLines="0" showRowColHeaders="0" workbookViewId="0">
      <selection activeCell="U20" sqref="U20"/>
    </sheetView>
  </sheetViews>
  <sheetFormatPr defaultRowHeight="15" x14ac:dyDescent="0.25"/>
  <cols>
    <col min="1" max="16384" width="9.140625" style="16"/>
  </cols>
  <sheetData>
    <row r="1" spans="1:21" ht="33" x14ac:dyDescent="0.45">
      <c r="A1" s="18" t="s">
        <v>69</v>
      </c>
      <c r="B1" s="18"/>
      <c r="C1" s="18"/>
      <c r="D1" s="18"/>
      <c r="E1" s="18"/>
      <c r="F1" s="18"/>
      <c r="G1" s="18"/>
      <c r="H1" s="18"/>
      <c r="I1" s="18"/>
      <c r="J1" s="18"/>
      <c r="K1" s="18"/>
      <c r="L1" s="18"/>
      <c r="M1" s="18"/>
      <c r="N1" s="18"/>
      <c r="O1" s="18"/>
      <c r="P1" s="18"/>
      <c r="Q1" s="18"/>
      <c r="R1" s="18"/>
      <c r="S1" s="18"/>
      <c r="T1" s="18"/>
      <c r="U1" s="18"/>
    </row>
    <row r="2" spans="1:21" ht="33" x14ac:dyDescent="0.45">
      <c r="A2" s="17"/>
      <c r="B2" s="17"/>
      <c r="C2" s="17"/>
      <c r="D2" s="17"/>
      <c r="E2" s="17"/>
      <c r="F2" s="17"/>
      <c r="G2" s="17"/>
      <c r="H2" s="17"/>
      <c r="I2" s="17"/>
      <c r="J2" s="17"/>
      <c r="K2" s="17"/>
      <c r="L2" s="17"/>
      <c r="M2" s="17"/>
      <c r="N2" s="17"/>
      <c r="O2" s="17"/>
      <c r="P2" s="17"/>
      <c r="Q2" s="17"/>
      <c r="R2" s="17"/>
      <c r="S2" s="17"/>
      <c r="T2" s="17"/>
      <c r="U2" s="17"/>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2026-03-11T16:02:46Z</dcterms:created>
  <dcterms:modified xsi:type="dcterms:W3CDTF">2026-03-11T16:12:03Z</dcterms:modified>
</cp:coreProperties>
</file>